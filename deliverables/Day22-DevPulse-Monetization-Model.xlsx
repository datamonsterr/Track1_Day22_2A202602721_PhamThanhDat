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_README" sheetId="1" state="visible" r:id="rId1"/>
    <sheet xmlns:r="http://schemas.openxmlformats.org/officeDocument/2006/relationships" name="1_Cost_Job" sheetId="2" state="visible" r:id="rId2"/>
    <sheet xmlns:r="http://schemas.openxmlformats.org/officeDocument/2006/relationships" name="2_Pricing" sheetId="3" state="visible" r:id="rId3"/>
    <sheet xmlns:r="http://schemas.openxmlformats.org/officeDocument/2006/relationships" name="3_Value_Metric" sheetId="4" state="visible" r:id="rId4"/>
    <sheet xmlns:r="http://schemas.openxmlformats.org/officeDocument/2006/relationships" name="4_Channel_Fit" sheetId="5" state="visible" r:id="rId5"/>
    <sheet xmlns:r="http://schemas.openxmlformats.org/officeDocument/2006/relationships" name="5_90Day_Plan" sheetId="6" state="visible" r:id="rId6"/>
    <sheet xmlns:r="http://schemas.openxmlformats.org/officeDocument/2006/relationships" name="6_Benchmarks" sheetId="7" state="visible" r:id="rId7"/>
    <sheet xmlns:r="http://schemas.openxmlformats.org/officeDocument/2006/relationships" name="7_Assumptions" sheetId="8" state="visible" r:id="rId8"/>
  </sheets>
  <definedNames>
    <definedName name="_xlnm._FilterDatabase" localSheetId="7" hidden="1">'7_Assumptions'!$A$3:$F$78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7">
    <numFmt numFmtId="164" formatCode="0.0%"/>
    <numFmt numFmtId="165" formatCode="\$#,##0.0000"/>
    <numFmt numFmtId="166" formatCode="#,##0.0"/>
    <numFmt numFmtId="167" formatCode="\$#,##0.00"/>
    <numFmt numFmtId="168" formatCode="\$#,##0"/>
    <numFmt numFmtId="169" formatCode="#,##0.0\×"/>
    <numFmt numFmtId="170" formatCode="#,##0&quot; ₫&quot;"/>
  </numFmts>
  <fonts count="12">
    <font>
      <name val="Calibri"/>
      <color theme="1"/>
      <sz val="11"/>
      <scheme val="minor"/>
    </font>
    <font>
      <name val="Arial"/>
      <b val="1"/>
      <color rgb="FFFFFFFF"/>
      <sz val="14"/>
    </font>
    <font>
      <name val="Calibri"/>
      <color theme="1"/>
      <sz val="11"/>
    </font>
    <font>
      <name val="Arial"/>
      <i val="1"/>
      <color rgb="FF666666"/>
      <sz val="9"/>
    </font>
    <font>
      <name val="Arial"/>
      <b val="1"/>
      <color rgb="FF1F2937"/>
      <sz val="11"/>
    </font>
    <font>
      <name val="Arial"/>
      <color rgb="FF0000FF"/>
      <sz val="10"/>
    </font>
    <font>
      <name val="Arial"/>
      <color theme="1"/>
      <sz val="10"/>
    </font>
    <font>
      <name val="Arial"/>
      <color rgb="FF008000"/>
      <sz val="10"/>
    </font>
    <font>
      <name val="Arial"/>
      <b val="1"/>
      <color theme="1"/>
      <sz val="10"/>
    </font>
    <font>
      <name val="Arial"/>
      <b val="1"/>
      <color rgb="FFC00000"/>
      <sz val="11"/>
    </font>
    <font>
      <name val="Arial"/>
      <b val="1"/>
      <color rgb="FFFFFFFF"/>
      <sz val="10"/>
    </font>
    <font>
      <name val="Calibri"/>
      <sz val="10"/>
    </font>
  </fonts>
  <fills count="9">
    <fill>
      <patternFill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FFF2CC"/>
        <bgColor rgb="FFFFF2CC"/>
      </patternFill>
    </fill>
    <fill>
      <patternFill patternType="solid">
        <fgColor rgb="FFE8EAF6"/>
        <bgColor rgb="FFE8EAF6"/>
      </patternFill>
    </fill>
    <fill>
      <patternFill patternType="solid">
        <fgColor rgb="FFF2F2F2"/>
        <bgColor rgb="FFF2F2F2"/>
      </patternFill>
    </fill>
    <fill>
      <patternFill patternType="solid">
        <fgColor rgb="FFEDEDED"/>
        <bgColor rgb="FFEDEDED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3">
    <border/>
    <border>
      <left/>
      <right/>
      <top/>
      <bottom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5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3" borderId="2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4" borderId="1" applyAlignment="1" pivotButton="0" quotePrefix="0" xfId="0">
      <alignment vertical="bottom"/>
    </xf>
    <xf numFmtId="0" fontId="6" fillId="5" borderId="2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0" fontId="6" fillId="6" borderId="2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5" fillId="3" borderId="2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3" fontId="5" fillId="3" borderId="2" applyAlignment="1" pivotButton="0" quotePrefix="0" xfId="0">
      <alignment vertical="bottom"/>
    </xf>
    <xf numFmtId="164" fontId="5" fillId="3" borderId="2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3" fontId="9" fillId="5" borderId="2" applyAlignment="1" pivotButton="0" quotePrefix="0" xfId="0">
      <alignment vertical="bottom"/>
    </xf>
    <xf numFmtId="3" fontId="6" fillId="5" borderId="2" applyAlignment="1" pivotButton="0" quotePrefix="0" xfId="0">
      <alignment vertical="bottom"/>
    </xf>
    <xf numFmtId="165" fontId="7" fillId="5" borderId="2" applyAlignment="1" pivotButton="0" quotePrefix="0" xfId="0">
      <alignment vertical="bottom"/>
    </xf>
    <xf numFmtId="166" fontId="5" fillId="3" borderId="2" applyAlignment="1" pivotButton="0" quotePrefix="0" xfId="0">
      <alignment vertical="bottom"/>
    </xf>
    <xf numFmtId="167" fontId="5" fillId="3" borderId="2" applyAlignment="1" pivotButton="0" quotePrefix="0" xfId="0">
      <alignment vertical="bottom"/>
    </xf>
    <xf numFmtId="165" fontId="9" fillId="5" borderId="2" applyAlignment="1" pivotButton="0" quotePrefix="0" xfId="0">
      <alignment vertical="bottom"/>
    </xf>
    <xf numFmtId="165" fontId="6" fillId="5" borderId="2" applyAlignment="1" pivotButton="0" quotePrefix="0" xfId="0">
      <alignment vertical="bottom"/>
    </xf>
    <xf numFmtId="168" fontId="5" fillId="3" borderId="2" applyAlignment="1" pivotButton="0" quotePrefix="0" xfId="0">
      <alignment vertical="bottom"/>
    </xf>
    <xf numFmtId="0" fontId="9" fillId="5" borderId="2" applyAlignment="1" pivotButton="0" quotePrefix="0" xfId="0">
      <alignment vertical="bottom"/>
    </xf>
    <xf numFmtId="0" fontId="8" fillId="6" borderId="2" applyAlignment="1" pivotButton="0" quotePrefix="0" xfId="0">
      <alignment vertical="bottom"/>
    </xf>
    <xf numFmtId="164" fontId="6" fillId="5" borderId="2" applyAlignment="1" pivotButton="0" quotePrefix="0" xfId="0">
      <alignment vertical="bottom"/>
    </xf>
    <xf numFmtId="165" fontId="5" fillId="3" borderId="2" applyAlignment="1" pivotButton="0" quotePrefix="0" xfId="0">
      <alignment vertical="bottom"/>
    </xf>
    <xf numFmtId="169" fontId="6" fillId="5" borderId="2" applyAlignment="1" pivotButton="0" quotePrefix="0" xfId="0">
      <alignment vertical="bottom"/>
    </xf>
    <xf numFmtId="164" fontId="9" fillId="5" borderId="2" applyAlignment="1" pivotButton="0" quotePrefix="0" xfId="0">
      <alignment vertical="bottom"/>
    </xf>
    <xf numFmtId="167" fontId="6" fillId="5" borderId="2" applyAlignment="1" pivotButton="0" quotePrefix="0" xfId="0">
      <alignment vertical="bottom"/>
    </xf>
    <xf numFmtId="167" fontId="9" fillId="5" borderId="2" applyAlignment="1" pivotButton="0" quotePrefix="0" xfId="0">
      <alignment vertical="bottom"/>
    </xf>
    <xf numFmtId="164" fontId="7" fillId="5" borderId="2" applyAlignment="1" pivotButton="0" quotePrefix="0" xfId="0">
      <alignment vertical="bottom"/>
    </xf>
    <xf numFmtId="168" fontId="9" fillId="5" borderId="2" applyAlignment="1" pivotButton="0" quotePrefix="0" xfId="0">
      <alignment vertical="bottom"/>
    </xf>
    <xf numFmtId="170" fontId="6" fillId="5" borderId="2" applyAlignment="1" pivotButton="0" quotePrefix="0" xfId="0">
      <alignment vertical="bottom"/>
    </xf>
    <xf numFmtId="168" fontId="6" fillId="5" borderId="2" applyAlignment="1" pivotButton="0" quotePrefix="0" xfId="0">
      <alignment vertical="bottom"/>
    </xf>
    <xf numFmtId="4" fontId="9" fillId="5" borderId="2" applyAlignment="1" pivotButton="0" quotePrefix="0" xfId="0">
      <alignment vertical="bottom"/>
    </xf>
    <xf numFmtId="169" fontId="9" fillId="5" borderId="2" applyAlignment="1" pivotButton="0" quotePrefix="0" xfId="0">
      <alignment vertical="bottom"/>
    </xf>
    <xf numFmtId="164" fontId="6" fillId="6" borderId="2" applyAlignment="1" pivotButton="0" quotePrefix="0" xfId="0">
      <alignment vertical="bottom"/>
    </xf>
    <xf numFmtId="0" fontId="5" fillId="3" borderId="2" applyAlignment="1" pivotButton="0" quotePrefix="0" xfId="0">
      <alignment vertical="top" wrapText="1"/>
    </xf>
    <xf numFmtId="0" fontId="10" fillId="2" borderId="2" applyAlignment="1" pivotButton="0" quotePrefix="0" xfId="0">
      <alignment vertical="bottom"/>
    </xf>
    <xf numFmtId="0" fontId="6" fillId="6" borderId="2" applyAlignment="1" pivotButton="0" quotePrefix="0" xfId="0">
      <alignment vertical="top"/>
    </xf>
    <xf numFmtId="0" fontId="3" fillId="6" borderId="2" applyAlignment="1" pivotButton="0" quotePrefix="0" xfId="0">
      <alignment vertical="top" wrapText="1"/>
    </xf>
    <xf numFmtId="0" fontId="0" fillId="0" borderId="0" pivotButton="0" quotePrefix="0" xfId="0"/>
    <xf numFmtId="0" fontId="5" fillId="3" borderId="2" applyAlignment="1" pivotButton="0" quotePrefix="0" xfId="0">
      <alignment vertical="top" wrapText="1"/>
    </xf>
    <xf numFmtId="0" fontId="5" fillId="3" borderId="2" applyAlignment="1" pivotButton="0" quotePrefix="0" xfId="0">
      <alignment horizontal="center" vertical="top" wrapText="1"/>
    </xf>
    <xf numFmtId="3" fontId="5" fillId="3" borderId="2" applyAlignment="1" pivotButton="0" quotePrefix="0" xfId="0">
      <alignment vertical="top" wrapText="1"/>
    </xf>
    <xf numFmtId="164" fontId="5" fillId="3" borderId="2" applyAlignment="1" pivotButton="0" quotePrefix="0" xfId="0">
      <alignment vertical="top" wrapText="1"/>
    </xf>
    <xf numFmtId="167" fontId="5" fillId="3" borderId="2" applyAlignment="1" pivotButton="0" quotePrefix="0" xfId="0">
      <alignment vertical="top" wrapText="1"/>
    </xf>
    <xf numFmtId="165" fontId="5" fillId="3" borderId="2" applyAlignment="1" pivotButton="0" quotePrefix="0" xfId="0">
      <alignment vertical="top" wrapText="1"/>
    </xf>
    <xf numFmtId="166" fontId="5" fillId="3" borderId="2" applyAlignment="1" pivotButton="0" quotePrefix="0" xfId="0">
      <alignment vertical="top" wrapText="1"/>
    </xf>
    <xf numFmtId="168" fontId="5" fillId="3" borderId="2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None</author>
    <author>Day22 provenance</author>
  </authors>
  <commentList>
    <comment ref="B5" authorId="0" shapeId="0">
      <text>
        <t>======
ID#AAACIQEOV6c
Unknown Author    (2026-10-08 02:20:56)
Ví dụ mẫu đang điền sẵn — thay bằng sản phẩm của bạn.</t>
      </text>
    </comment>
    <comment ref="B9" authorId="1" shapeId="0">
      <text>
        <t>Planning: 10 workspaces × 4 attempted reports/month = 40. Day20 cadence: two sprint reports and one board report delivered. Not current customers.</t>
      </text>
    </comment>
    <comment ref="B10" authorId="1" shapeId="0">
      <text>
        <t>75% planning assumption, not eval. 40 attempts → 30 AI-ready. CTO review remains mandatory; preparation containment ≠ end-to-end autonomy.</t>
      </text>
    </comment>
    <comment ref="B20" authorId="1" shapeId="0">
      <text>
        <t>8,000 stable prefix tokens ≥ Haiku 4.5 cache minimum 4,096. Four sequential calls within five-minute TTL. No claim measured hit rate.</t>
      </text>
    </comment>
    <comment ref="B21" authorId="1" shapeId="0">
      <text>
        <t>12,000 average fresh tokens/call includes history, structured source aggregates, tool schemas and results; no raw source-code ingestion. Must replace with usage logs.</t>
      </text>
    </comment>
    <comment ref="B30" authorId="1" shapeId="0">
      <text>
        <t>No Batch in baseline: planned on-demand preview within 15 minutes. Batch scenario only for overnight reports, no assumed cache sharing across batched jobs.</t>
      </text>
    </comment>
    <comment ref="B41" authorId="1" shapeId="0">
      <text>
        <t>$80 shared monthly floor / 40 attempts + $8 per attempt = $10. $8: ingestion/DB $3, storage/egress $1, logging/eval $1, direct support $1.5, collection/FX/tax contingency $1.5. Estimates, not invoices.</t>
      </text>
    </comment>
    <comment ref="B46" authorId="1" shapeId="0">
      <text>
        <t>8% assumes exactly one extra full inference per affected job. More repeats require expected extra call count, not probability alone. Infra retry reserve in logging component.</t>
      </text>
    </comment>
    <comment ref="B50" authorId="1" shapeId="0">
      <text>
        <t>Fully-loaded vendor QA/support $20/hour is planning assumption, not Vietnam wage benchmark.</t>
      </text>
    </comment>
    <comment ref="B53" authorId="1" shapeId="0">
      <text>
        <t>20 minutes/customer-reworked failure is a scenario input. Vendor cost = zero only in variant A; customer burden must be measured.</t>
      </text>
    </comment>
    <comment ref="B59" authorId="1" shapeId="0">
      <text>
        <t>$300/month allocation: ongoing product maintenance 8h×$20 + admin 7h×$20. Acquisition spend is in CAC, not double-counted here. Not complete startup payroll.</t>
      </text>
    </comment>
    <comment ref="B68" authorId="1" shapeId="0">
      <text>
        <t>Vietcombank XML USD sell 26,160 VND/USD; published 10/8/2026 12:13:07 PM; checked 2026-10-08. Excludes payment fees.</t>
      </text>
    </comment>
  </commentList>
</comments>
</file>

<file path=xl/comments/comment2.xml><?xml version="1.0" encoding="utf-8"?>
<comments xmlns="http://schemas.openxmlformats.org/spreadsheetml/2006/main">
  <authors>
    <author>Day22 provenance</author>
  </authors>
  <commentList>
    <comment ref="B10" authorId="0" shapeId="0">
      <text>
        <t>3 reports/month × 10 net preparation hours saved × $40/hour = $1,200. No token-spend savings or causal developer productivity claim. Pilot stopwatch required.</t>
      </text>
    </comment>
    <comment ref="B11" authorId="0" shapeId="0">
      <text>
        <t>AI-ready reports/customer/month, not attempted reports. Three reports follows two sprint reports + one monthly board review from Day20.</t>
      </text>
    </comment>
    <comment ref="B14" authorId="0" shapeId="0">
      <text>
        <t>Hypothetical reporting analyst $2,000/month; not an employee actually replaced. Primary anchor is saved preparation hours.</t>
      </text>
    </comment>
    <comment ref="B19" authorId="0" shapeId="0">
      <text>
        <t>$60/report, hypothesis: above 3×COGS floor; at 3 reports plus $39 base, $219/month &lt; 25% of $1,200 saved. WTP unvalidated.</t>
      </text>
    </comment>
  </commentList>
</comments>
</file>

<file path=xl/comments/comment3.xml><?xml version="1.0" encoding="utf-8"?>
<comments xmlns="http://schemas.openxmlformats.org/spreadsheetml/2006/main">
  <authors>
    <author>Day22 provenance</author>
  </authors>
  <commentList>
    <comment ref="B5" authorId="0" shapeId="0">
      <text>
        <t>39 base + 3 AI-ready reports ×60 =219 USD/month. Expected ARPU, not current revenue.</t>
      </text>
    </comment>
    <comment ref="B7" authorId="0" shapeId="0">
      <text>
        <t>SMB engineering team20–50 devs, per Day20. 12-month payback is lab ceiling, not retention evidence; use tighter CAC $400 operating stop.</t>
      </text>
    </comment>
    <comment ref="B13" authorId="0" shapeId="0">
      <text>
        <t>Local planning quota120k/year =5×24k fully loaded AE cost. Not historical $500k quota copied from Tunguz.</t>
      </text>
    </comment>
    <comment ref="B20" authorId="0" shapeId="0">
      <text>
        <t>Local bottom-up scenario: 48k annual rep motion acquisition spend /40 qualified opportunities =1200. Not unverified ICONIQ2026 cost-per-opportunity.</t>
      </text>
    </comment>
    <comment ref="B21" authorId="0" shapeId="0">
      <text>
        <t>25% assumption:10 wins/40 opportunities; replace with actual funnel.</t>
      </text>
    </comment>
    <comment ref="B38" authorId="0" shapeId="0">
      <text>
        <t>PLG is a proposed 90-day motion, not a functioning current acquisition channel. GitHub App installation and trust friction are principal falsification risks.</t>
      </text>
    </comment>
  </commentList>
</comments>
</file>

<file path=xl/comments/comment4.xml><?xml version="1.0" encoding="utf-8"?>
<comments xmlns="http://schemas.openxmlformats.org/spreadsheetml/2006/main">
  <authors>
    <author>Day22 provenance</author>
  </authors>
  <commentList>
    <comment ref="B3" authorId="0" shapeId="0">
      <text>
        <t>Verified Haiku 4.5 and cache rates only; see 7_Assumptions and data/sources.json. Other read-only rows remain the historical template and are not certified current.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4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52" customWidth="1" style="45" min="1" max="1"/>
    <ns0:col width="62" customWidth="1" style="45" min="2" max="2"/>
    <ns0:col width="15" customWidth="1" style="45" min="3" max="8"/>
    <ns0:col width="8.710000000000001" customWidth="1" style="45" min="9" max="26"/>
  </ns0:cols>
  <ns0:sheetData>
    <ns0:row r="1" ht="24" customHeight="1" s="45">
      <ns0:c r="A1" s="1" t="inlineStr">
        <ns0:is>
          <ns0:t>DAY 28 — MONETIZATION MODEL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AI Pricing · GTM · Evidence — AI-IN-ACTION Track 1</ns0:t>
        </ns0:is>
      </ns0:c>
    </ns0:row>
    <ns0:row r="4">
      <ns0:c r="A4" s="4" t="inlineStr">
        <ns0:is>
          <ns0:t>QUY ƯỚC MÀU — CHỈ ĐIỀN VÀO Ô MÀU VÀNG</ns0:t>
        </ns0:is>
      </ns0:c>
    </ns0:row>
    <ns0:row r="5">
      <ns0:c r="A5" s="5" t="inlineStr">
        <ns0:is>
          <ns0:t>Ô VÀNG, chữ xanh dương</ns0:t>
        </ns0:is>
      </ns0:c>
      <ns0:c r="B5" s="14" t="inlineStr">
        <ns0:is>
          <ns0:t>Ô bạn phải điền</ns0:t>
        </ns0:is>
      </ns0:c>
    </ns0:row>
    <ns0:row r="6">
      <ns0:c r="A6" s="8" t="inlineStr">
        <ns0:is>
          <ns0:t>Ô XÁM, chữ đen</ns0:t>
        </ns0:is>
      </ns0:c>
      <ns0:c r="B6" s="14" t="inlineStr">
        <ns0:is>
          <ns0:t>Công thức tự tính — KHÔNG SỬA</ns0:t>
        </ns0:is>
      </ns0:c>
    </ns0:row>
    <ns0:row r="7">
      <ns0:c r="A7" s="9" t="inlineStr">
        <ns0:is>
          <ns0:t>Chữ xanh lá</ns0:t>
        </ns0:is>
      </ns0:c>
      <ns0:c r="B7" s="14" t="inlineStr">
        <ns0:is>
          <ns0:t>Link sang tab khác</ns0:t>
        </ns0:is>
      </ns0:c>
    </ns0:row>
    <ns0:row r="8">
      <ns0:c r="A8" s="11" t="inlineStr">
        <ns0:is>
          <ns0:t>Ô XÁM đậm nhạt</ns0:t>
        </ns0:is>
      </ns0:c>
      <ns0:c r="B8" s="14" t="inlineStr">
        <ns0:is>
          <ns0:t>Bảng tham chiếu, chỉ đọc</ns0:t>
        </ns0:is>
      </ns0:c>
    </ns0:row>
    <ns0:row r="10">
      <ns0:c r="A10" s="4" t="inlineStr">
        <ns0:is>
          <ns0:t>THỨ TỰ LÀM — 6 TRẠM, 120 PHÚT</ns0:t>
        </ns0:is>
      </ns0:c>
    </ns0:row>
    <ns0:row r="11">
      <ns0:c r="A11" s="12" t="inlineStr">
        <ns0:is>
          <ns0:t>Trạm 1 · 15'</ns0:t>
        </ns0:is>
      </ns0:c>
      <ns0:c r="B11" s="14" t="inlineStr">
        <ns0:is>
          <ns0:t>Ngân sách khách &amp; định nghĩa Job → điền S1–S2 của tab 1_Cost_Job</ns0:t>
        </ns0:is>
      </ns0:c>
    </ns0:row>
    <ns0:row r="12">
      <ns0:c r="A12" s="12" t="inlineStr">
        <ns0:is>
          <ns0:t>Trạm 2 · 20'</ns0:t>
        </ns0:is>
      </ns0:c>
      <ns0:c r="B12" s="14" t="inlineStr">
        <ns0:is>
          <ns0:t>Value Metric → tab 3_Value_Metric</ns0:t>
        </ns0:is>
      </ns0:c>
    </ns0:row>
    <ns0:row r="13">
      <ns0:c r="A13" s="12" t="inlineStr">
        <ns0:is>
          <ns0:t>Trạm 3 · 30'</ns0:t>
        </ns0:is>
      </ns0:c>
      <ns0:c r="B13" s="14" t="inlineStr">
        <ns0:is>
          <ns0:t>Cost/Job, giá sàn &amp; giá trần → tab 1_Cost_Job (S3–S8) rồi 2_Pricing</ns0:t>
        </ns0:is>
      </ns0:c>
    </ns0:row>
    <ns0:row r="14">
      <ns0:c r="A14" s="12" t="inlineStr">
        <ns0:is>
          <ns0:t>Trạm 4 · 20'</ns0:t>
        </ns0:is>
      </ns0:c>
      <ns0:c r="B14" s="14" t="inlineStr">
        <ns0:is>
          <ns0:t>Kênh phân phối &amp; Affordability Test → tab 4_Channel_Fit</ns0:t>
        </ns0:is>
      </ns0:c>
    </ns0:row>
    <ns0:row r="15">
      <ns0:c r="A15" s="12" t="inlineStr">
        <ns0:is>
          <ns0:t>Trạm 5 · 15'</ns0:t>
        </ns0:is>
      </ns0:c>
      <ns0:c r="B15" s="14" t="inlineStr">
        <ns0:is>
          <ns0:t>Pain Moment &amp; 90-Day Plan → tab 5_90Day_Plan</ns0:t>
        </ns0:is>
      </ns0:c>
    </ns0:row>
    <ns0:row r="16">
      <ns0:c r="A16" s="12" t="inlineStr">
        <ns0:is>
          <ns0:t>Trạm 6 · 20'</ns0:t>
        </ns0:is>
      </ns0:c>
      <ns0:c r="B16" s="14" t="inlineStr">
        <ns0:is>
          <ns0:t>Evidence Pack &amp; ráp One-Pager → tab 5_90Day_Plan + file .docx</ns0:t>
        </ns0:is>
      </ns0:c>
    </ns0:row>
    <ns0:row r="18">
      <ns0:c r="A18" s="4" t="inlineStr">
        <ns0:is>
          <ns0:t>3 QUY TẮC KHÔNG ĐƯỢC PHÁ</ns0:t>
        </ns0:is>
      </ns0:c>
    </ns0:row>
    <ns0:row r="19">
      <ns0:c r="A19" s="14" t="inlineStr">
        <ns0:is>
          <ns0:t>1. Chia cho số job HOÀN THÀNH, không phải số job đã thử.</ns0:t>
        </ns0:is>
      </ns0:c>
    </ns0:row>
    <ns0:row r="20">
      <ns0:c r="A20" s="14" t="inlineStr">
        <ns0:is>
          <ns0:t>2. HITL và Retry không được để 0 nếu không có lý do viết ra được.</ns0:t>
        </ns0:is>
      </ns0:c>
    </ns0:row>
    <ns0:row r="21" ht="15.75" customHeight="1" s="45">
      <ns0:c r="A21" s="14" t="inlineStr">
        <ns0:is>
          <ns0:t>3. Mọi con số giá API phải có NGÀY kiểm tra (xem tab 6_Benchmarks).</ns0:t>
        </ns0:is>
      </ns0:c>
    </ns0:row>
    <ns0:row r="22" ht="15.75" customHeight="1" s="45"/>
    <ns0:row r="23" ht="15.75" customHeight="1" s="45">
      <ns0:c r="A23" s="17" t="inlineStr">
        <ns0:is>
          <ns0:t>Giá tham chiếu trong workbook này được chốt ngày 26/08/2026. Nhiều mức giá là KHUYẾN MẠI CÓ HẠN.</ns0:t>
        </ns0:is>
      </ns0:c>
    </ns0:row>
    <ns0:row r="24" ht="15.75" customHeight="1" s="45">
      <ns0:c r="A24" s="17" t="inlineStr">
        <ns0:is>
          <ns0:t>Bạn PHẢI tự mở lại trang giá của nhà cung cấp và cập nhật — đây là một phần của bài tập.</ns0:t>
        </ns0:is>
      </ns0:c>
    </ns0:row>
    <ns0:row r="25" ht="15.75" customHeight="1" s="45"/>
    <ns0:row r="26" ht="15.75" customHeight="1" s="45"/>
    <ns0:row r="27" ht="15.75" customHeight="1" s="45"/>
    <ns0:row r="28" ht="15.75" customHeight="1" s="45"/>
    <ns0:row r="29" ht="15.75" customHeight="1" s="45"/>
    <ns0:row r="30" ht="15.75" customHeight="1" s="45"/>
    <ns0:row r="31" ht="15.75" customHeight="1" s="45"/>
    <ns0:row r="32" ht="15.75" customHeight="1" s="45"/>
    <ns0:row r="33" ht="15.75" customHeight="1" s="45"/>
    <ns0:row r="34" ht="15.75" customHeight="1" s="45"/>
    <ns0:row r="35" ht="15.75" customHeight="1" s="45"/>
    <ns0:row r="36" ht="15.75" customHeight="1" s="45"/>
    <ns0:row r="37" ht="15.75" customHeight="1" s="45"/>
    <ns0:row r="38" ht="15.75" customHeight="1" s="45"/>
    <ns0:row r="39" ht="15.75" customHeight="1" s="45"/>
    <ns0:row r="40" ht="15.75" customHeight="1" s="45"/>
    <ns0:row r="41" ht="15.75" customHeight="1" s="45"/>
    <ns0:row r="42" ht="15.75" customHeight="1" s="45"/>
    <ns0:row r="43" ht="15.75" customHeight="1" s="45"/>
    <ns0:row r="44" ht="15.75" customHeight="1" s="45"/>
    <ns0:row r="45" ht="15.75" customHeight="1" s="45"/>
    <ns0:row r="46" ht="15.75" customHeight="1" s="45"/>
    <ns0:row r="47" ht="15.75" customHeight="1" s="45"/>
    <ns0:row r="48" ht="15.75" customHeight="1" s="45"/>
    <ns0:row r="49" ht="15.75" customHeight="1" s="45"/>
    <ns0:row r="50" ht="15.75" customHeight="1" s="45"/>
    <ns0:row r="51" ht="15.75" customHeight="1" s="45"/>
    <ns0:row r="52" ht="15.75" customHeight="1" s="45"/>
    <ns0:row r="53" ht="15.75" customHeight="1" s="45"/>
    <ns0:row r="54" ht="15.75" customHeight="1" s="45"/>
    <ns0:row r="55" ht="15.75" customHeight="1" s="45"/>
    <ns0:row r="56" ht="15.75" customHeight="1" s="45"/>
    <ns0:row r="57" ht="15.75" customHeight="1" s="45"/>
    <ns0:row r="58" ht="15.75" customHeight="1" s="45"/>
    <ns0:row r="59" ht="15.75" customHeight="1" s="45"/>
    <ns0:row r="60" ht="15.75" customHeight="1" s="45"/>
    <ns0:row r="61" ht="15.75" customHeight="1" s="45"/>
    <ns0:row r="62" ht="15.75" customHeight="1" s="45"/>
    <ns0:row r="63" ht="15.75" customHeight="1" s="45"/>
    <ns0:row r="64" ht="15.75" customHeight="1" s="45"/>
    <ns0:row r="65" ht="15.75" customHeight="1" s="45"/>
    <ns0:row r="66" ht="15.75" customHeight="1" s="45"/>
    <ns0:row r="67" ht="15.75" customHeight="1" s="45"/>
    <ns0:row r="68" ht="15.75" customHeight="1" s="45"/>
    <ns0:row r="69" ht="15.75" customHeight="1" s="45"/>
    <ns0:row r="70" ht="15.75" customHeight="1" s="45"/>
    <ns0:row r="71" ht="15.75" customHeight="1" s="45"/>
    <ns0:row r="72" ht="15.75" customHeight="1" s="45"/>
    <ns0:row r="73" ht="15.75" customHeight="1" s="45"/>
    <ns0:row r="74" ht="15.75" customHeight="1" s="45"/>
    <ns0:row r="75" ht="15.75" customHeight="1" s="45"/>
    <ns0:row r="76" ht="15.75" customHeight="1" s="45"/>
    <ns0:row r="77" ht="15.75" customHeight="1" s="45"/>
    <ns0:row r="78" ht="15.75" customHeight="1" s="45"/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pageMargins left="0.75" right="0.75" top="1" bottom="1" header="0" footer="0"/>
  <ns0:pageSetup orientation="portrait" paperSize="9"/>
</ns0: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H78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46" customWidth="1" style="45" min="1" max="1"/>
    <ns0:col width="16" customWidth="1" style="45" min="2" max="3"/>
    <ns0:col width="52" customWidth="1" style="45" min="4" max="4"/>
    <ns0:col width="15" customWidth="1" style="45" min="5" max="8"/>
    <ns0:col width="8.710000000000001" customWidth="1" style="45" min="9" max="26"/>
  </ns0:cols>
  <ns0:sheetData>
    <ns0:row r="1" ht="24" customHeight="1" s="45">
      <ns0:c r="A1" s="1" t="inlineStr">
        <ns0:is>
          <ns0:t>TAB 1 — COST/JOB CALCULATOR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Trạm 1 (S1–S2) và Trạm 3 (S3–S8). Chỉ điền ô vàng.</ns0:t>
        </ns0:is>
      </ns0:c>
    </ns0:row>
    <ns0:row r="4">
      <ns0:c r="A4" s="7" t="inlineStr">
        <ns0:is>
          <ns0:t>S1. ĐỊNH NGHĨA JOB</ns0:t>
        </ns0:is>
      </ns0:c>
      <ns0:c r="B4" s="10" t="n"/>
      <ns0:c r="C4" s="10" t="n"/>
      <ns0:c r="D4" s="10" t="n"/>
      <ns0:c r="E4" s="10" t="n"/>
      <ns0:c r="F4" s="10" t="n"/>
      <ns0:c r="G4" s="10" t="n"/>
      <ns0:c r="H4" s="10" t="n"/>
    </ns0:row>
    <ns0:row r="5" ht="75.625" customHeight="1" s="45">
      <ns0:c r="A5" s="14" t="inlineStr">
        <ns0:is>
          <ns0:t>1 job của bạn là gì?</ns0:t>
        </ns0:is>
      </ns0:c>
      <ns0:c r="B5" s="46" t="inlineStr">
        <ns0:is>
          <ns0:t>1 báo cáo Sprint/tháng AI-ready: đủ nguồn Jira/GitHub/AI ledger, coverage ≥80%, không lỗi nghiêm trọng; CTO review riêng.</ns0:t>
        </ns0:is>
      </ns0:c>
      <ns0:c r="D5" s="17" t="inlineStr">
        <ns0:is>
          <ns0:t>Phải là thứ KHÁCH coi là giá trị — không phải '1 request'</ns0:t>
        </ns0:is>
      </ns0:c>
    </ns0:row>
    <ns0:row r="6" ht="32" customHeight="1" s="45">
      <ns0:c r="A6" s="14" t="inlineStr">
        <ns0:is>
          <ns0:t>Biến thể HITL: A hay B?</ns0:t>
        </ns0:is>
      </ns0:c>
      <ns0:c r="B6" s="47" t="inlineStr">
        <ns0:is>
          <ns0:t>A</ns0:t>
        </ns0:is>
      </ns0:c>
      <ns0:c r="D6" s="17" t="inlineStr">
        <ns0:is>
          <ns0:t>A = khách tự xử lý ca escalate · B = BẠN chịu (outcome/managed)</ns0:t>
        </ns0:is>
      </ns0:c>
    </ns0:row>
    <ns0:row r="8">
      <ns0:c r="A8" s="7" t="inlineStr">
        <ns0:is>
          <ns0:t>S2. KHỐI LƯỢNG</ns0:t>
        </ns0:is>
      </ns0:c>
      <ns0:c r="B8" s="10" t="n"/>
      <ns0:c r="C8" s="10" t="n"/>
      <ns0:c r="D8" s="10" t="n"/>
      <ns0:c r="E8" s="10" t="n"/>
      <ns0:c r="F8" s="10" t="n"/>
      <ns0:c r="G8" s="10" t="n"/>
      <ns0:c r="H8" s="10" t="n"/>
    </ns0:row>
    <ns0:row r="9">
      <ns0:c r="A9" s="14" t="inlineStr">
        <ns0:is>
          <ns0:t>Số job THỬ / tháng</ns0:t>
        </ns0:is>
      </ns0:c>
      <ns0:c r="B9" s="48" t="n">
        <ns0:v>40</ns0:v>
      </ns0:c>
      <ns0:c r="C9" s="17" t="inlineStr">
        <ns0:is>
          <ns0:t>job</ns0:t>
        </ns0:is>
      </ns0:c>
    </ns0:row>
    <ns0:row r="10">
      <ns0:c r="A10" s="14" t="inlineStr">
        <ns0:is>
          <ns0:t>Containment rate (AI tự làm xong)</ns0:t>
        </ns0:is>
      </ns0:c>
      <ns0:c r="B10" s="49" t="n">
        <ns0:v>0.75</ns0:v>
      </ns0:c>
      <ns0:c r="D10" s="17" t="inlineStr">
        <ns0:is>
          <ns0:t>Chưa đo → ước tính và ghi rõ</ns0:t>
        </ns0:is>
      </ns0:c>
    </ns0:row>
    <ns0:row r="11">
      <ns0:c r="A11" s="14" t="inlineStr">
        <ns0:is>
          <ns0:t>→ Số job HOÀN THÀNH / tháng</ns0:t>
        </ns0:is>
      </ns0:c>
      <ns0:c r="B11" s="19">
        <ns0:f>B9*B10</ns0:f>
        <ns0:v>30</ns0:v>
      </ns0:c>
      <ns0:c r="C11" s="17" t="inlineStr">
        <ns0:is>
          <ns0:t>job</ns0:t>
        </ns0:is>
      </ns0:c>
      <ns0:c r="D11" s="17" t="inlineStr">
        <ns0:is>
          <ns0:t>MẪU SỐ của Cost/Job</ns0:t>
        </ns0:is>
      </ns0:c>
    </ns0:row>
    <ns0:row r="12">
      <ns0:c r="A12" s="14" t="inlineStr">
        <ns0:is>
          <ns0:t>→ Số job KHÔNG xong / tháng</ns0:t>
        </ns0:is>
      </ns0:c>
      <ns0:c r="B12" s="19">
        <ns0:f>B9-B11</ns0:f>
        <ns0:v>10</ns0:v>
      </ns0:c>
      <ns0:c r="C12" s="17" t="inlineStr">
        <ns0:is>
          <ns0:t>job</ns0:t>
        </ns0:is>
      </ns0:c>
      <ns0:c r="D12" s="17" t="inlineStr">
        <ns0:is>
          <ns0:t>Số ca phải escalate</ns0:t>
        </ns0:is>
      </ns0:c>
    </ns0:row>
    <ns0:row r="14">
      <ns0:c r="A14" s="7" t="inlineStr">
        <ns0:is>
          <ns0:t>S3. API — LLM</ns0:t>
        </ns0:is>
      </ns0:c>
      <ns0:c r="B14" s="10" t="n"/>
      <ns0:c r="C14" s="10" t="n"/>
      <ns0:c r="D14" s="10" t="n"/>
      <ns0:c r="E14" s="10" t="n"/>
      <ns0:c r="F14" s="10" t="n"/>
      <ns0:c r="G14" s="10" t="n"/>
      <ns0:c r="H14" s="10" t="n"/>
    </ns0:row>
    <ns0:row r="15">
      <ns0:c r="A15" s="14" t="inlineStr">
        <ns0:is>
          <ns0:t>Giá input ($ / 1M token)</ns0:t>
        </ns0:is>
      </ns0:c>
      <ns0:c r="B15" s="50" t="n">
        <ns0:v>1</ns0:v>
      </ns0:c>
      <ns0:c r="D15" s="17" t="inlineStr">
        <ns0:is>
          <ns0:t>Claude Haiku 4.5 — xem tab 6_Benchmarks</ns0:t>
        </ns0:is>
      </ns0:c>
    </ns0:row>
    <ns0:row r="16">
      <ns0:c r="A16" s="14" t="inlineStr">
        <ns0:is>
          <ns0:t>Giá output ($ / 1M token)</ns0:t>
        </ns0:is>
      </ns0:c>
      <ns0:c r="B16" s="50" t="n">
        <ns0:v>5</ns0:v>
      </ns0:c>
    </ns0:row>
    <ns0:row r="17">
      <ns0:c r="A17" s="14" t="inlineStr">
        <ns0:is>
          <ns0:t>Giá cache WRITE ($ / 1M token)</ns0:t>
        </ns0:is>
      </ns0:c>
      <ns0:c r="B17" s="50" t="n">
        <ns0:v>1.25</ns0:v>
      </ns0:c>
      <ns0:c r="D17" s="17" t="inlineStr">
        <ns0:is>
          <ns0:t>Anthropic 5-phút = 1,25× input</ns0:t>
        </ns0:is>
      </ns0:c>
    </ns0:row>
    <ns0:row r="18">
      <ns0:c r="A18" s="14" t="inlineStr">
        <ns0:is>
          <ns0:t>Giá cache READ ($ / 1M token)</ns0:t>
        </ns0:is>
      </ns0:c>
      <ns0:c r="B18" s="50" t="n">
        <ns0:v>0.1</ns0:v>
      </ns0:c>
      <ns0:c r="D18" s="17" t="inlineStr">
        <ns0:is>
          <ns0:t>≈ 0,1× input (giảm 90%)</ns0:t>
        </ns0:is>
      </ns0:c>
    </ns0:row>
    <ns0:row r="19">
      <ns0:c r="A19" s="14" t="inlineStr">
        <ns0:is>
          <ns0:t>Số lượt (turns) / job</ns0:t>
        </ns0:is>
      </ns0:c>
      <ns0:c r="B19" s="48" t="n">
        <ns0:v>4</ns0:v>
      </ns0:c>
      <ns0:c r="C19" s="17" t="inlineStr">
        <ns0:is>
          <ns0:t>lượt</ns0:t>
        </ns0:is>
      </ns0:c>
    </ns0:row>
    <ns0:row r="20">
      <ns0:c r="A20" s="14" t="inlineStr">
        <ns0:is>
          <ns0:t>Token input CACHE ĐƯỢC / lượt</ns0:t>
        </ns0:is>
      </ns0:c>
      <ns0:c r="B20" s="48" t="n">
        <ns0:v>8000</ns0:v>
      </ns0:c>
      <ns0:c r="C20" s="17" t="inlineStr">
        <ns0:is>
          <ns0:t>token</ns0:t>
        </ns0:is>
      </ns0:c>
      <ns0:c r="D20" s="17" t="inlineStr">
        <ns0:is>
          <ns0:t>System prompt + KB + few-shot</ns0:t>
        </ns0:is>
      </ns0:c>
    </ns0:row>
    <ns0:row r="21" ht="15.75" customHeight="1" s="45">
      <ns0:c r="A21" s="14" t="inlineStr">
        <ns0:is>
          <ns0:t>Token input FRESH / lượt</ns0:t>
        </ns0:is>
      </ns0:c>
      <ns0:c r="B21" s="48" t="n">
        <ns0:v>12000</ns0:v>
      </ns0:c>
      <ns0:c r="C21" s="17" t="inlineStr">
        <ns0:is>
          <ns0:t>token</ns0:t>
        </ns0:is>
      </ns0:c>
      <ns0:c r="D21" s="17" t="inlineStr">
        <ns0:is>
          <ns0:t>Câu hỏi khách + dữ liệu động</ns0:t>
        </ns0:is>
      </ns0:c>
    </ns0:row>
    <ns0:row r="22" ht="15.75" customHeight="1" s="45">
      <ns0:c r="A22" s="14" t="inlineStr">
        <ns0:is>
          <ns0:t>Token output / lượt</ns0:t>
        </ns0:is>
      </ns0:c>
      <ns0:c r="B22" s="48" t="n">
        <ns0:v>2000</ns0:v>
      </ns0:c>
      <ns0:c r="C22" s="17" t="inlineStr">
        <ns0:is>
          <ns0:t>token</ns0:t>
        </ns0:is>
      </ns0:c>
    </ns0:row>
    <ns0:row r="23" ht="15.75" customHeight="1" s="45">
      <ns0:c r="A23" s="14" t="inlineStr">
        <ns0:is>
          <ns0:t>→ Cache write / job</ns0:t>
        </ns0:is>
      </ns0:c>
      <ns0:c r="B23" s="24">
        <ns0:f>B20*B17/1000000</ns0:f>
        <ns0:v>0.01</ns0:v>
      </ns0:c>
    </ns0:row>
    <ns0:row r="24" ht="15.75" customHeight="1" s="45">
      <ns0:c r="A24" s="14" t="inlineStr">
        <ns0:is>
          <ns0:t>→ Cache read / job</ns0:t>
        </ns0:is>
      </ns0:c>
      <ns0:c r="B24" s="24">
        <ns0:f>(B19-1)*B20*B18/1000000</ns0:f>
        <ns0:v>0.0024</ns0:v>
      </ns0:c>
    </ns0:row>
    <ns0:row r="25" ht="15.75" customHeight="1" s="45">
      <ns0:c r="A25" s="14" t="inlineStr">
        <ns0:is>
          <ns0:t>→ Input fresh / job</ns0:t>
        </ns0:is>
      </ns0:c>
      <ns0:c r="B25" s="24">
        <ns0:f>B19*B21*B15/1000000</ns0:f>
        <ns0:v>0.048</ns0:v>
      </ns0:c>
    </ns0:row>
    <ns0:row r="26" ht="15.75" customHeight="1" s="45">
      <ns0:c r="A26" s="14" t="inlineStr">
        <ns0:is>
          <ns0:t>→ Output / job</ns0:t>
        </ns0:is>
      </ns0:c>
      <ns0:c r="B26" s="24">
        <ns0:f>B19*B22*B16/1000000</ns0:f>
        <ns0:v>0.04</ns0:v>
      </ns0:c>
    </ns0:row>
    <ns0:row r="27" ht="15.75" customHeight="1" s="45">
      <ns0:c r="A27" s="12" t="inlineStr">
        <ns0:is>
          <ns0:t>→ LLM / job — CÓ prompt caching</ns0:t>
        </ns0:is>
      </ns0:c>
      <ns0:c r="B27" s="23">
        <ns0:f>SUM(B23:B26)</ns0:f>
        <ns0:v>0.1004</ns0:v>
      </ns0:c>
    </ns0:row>
    <ns0:row r="28" ht="15.75" customHeight="1" s="45">
      <ns0:c r="A28" s="14" t="inlineStr">
        <ns0:is>
          <ns0:t>→ LLM / job — KHÔNG cache</ns0:t>
        </ns0:is>
      </ns0:c>
      <ns0:c r="B28" s="24">
        <ns0:f>B19*(B20+B21)*B15/1000000+B26</ns0:f>
        <ns0:v>0.12</ns0:v>
      </ns0:c>
    </ns0:row>
    <ns0:row r="29" ht="15.75" customHeight="1" s="45">
      <ns0:c r="A29" s="14" t="inlineStr">
        <ns0:is>
          <ns0:t>→ % tiết kiệm nhờ caching</ns0:t>
        </ns0:is>
      </ns0:c>
      <ns0:c r="B29" s="28">
        <ns0:f>IF(B28=0,0,1-B27/B28)</ns0:f>
        <ns0:v>0.163333333333333</ns0:v>
      </ns0:c>
      <ns0:c r="D29" s="17" t="inlineStr">
        <ns0:is>
          <ns0:t>Đòn bẩy rẻ nhất bạn có</ns0:t>
        </ns0:is>
      </ns0:c>
    </ns0:row>
    <ns0:row r="30" ht="15.75" customHeight="1" s="45">
      <ns0:c r="A30" s="14" t="inlineStr">
        <ns0:is>
          <ns0:t>Dùng Batch API? (1 = có, 0 = không)</ns0:t>
        </ns0:is>
      </ns0:c>
      <ns0:c r="B30" s="48" t="n">
        <ns0:v>0</ns0:v>
      </ns0:c>
      <ns0:c r="D30" s="17" t="inlineStr">
        <ns0:is>
          <ns0:t>Batch giảm 50% — chỉ khi job KHÔNG cần realtime</ns0:t>
        </ns0:is>
      </ns0:c>
    </ns0:row>
    <ns0:row r="31" ht="15.75" customHeight="1" s="45">
      <ns0:c r="A31" s="12" t="inlineStr">
        <ns0:is>
          <ns0:t>→ LLM / job sau Batch</ns0:t>
        </ns0:is>
      </ns0:c>
      <ns0:c r="B31" s="23">
        <ns0:f>B27*(1-B30*0.5)</ns0:f>
        <ns0:v>0.1004</ns0:v>
      </ns0:c>
    </ns0:row>
    <ns0:row r="32" ht="15.75" customHeight="1" s="45"/>
    <ns0:row r="33" ht="15.75" customHeight="1" s="45">
      <ns0:c r="A33" s="7" t="inlineStr">
        <ns0:is>
          <ns0:t>S4. API — SPEECH (để 0 nếu sản phẩm không có thoại)</ns0:t>
        </ns0:is>
      </ns0:c>
      <ns0:c r="B33" s="10" t="n"/>
      <ns0:c r="C33" s="10" t="n"/>
      <ns0:c r="D33" s="10" t="n"/>
      <ns0:c r="E33" s="10" t="n"/>
      <ns0:c r="F33" s="10" t="n"/>
      <ns0:c r="G33" s="10" t="n"/>
      <ns0:c r="H33" s="10" t="n"/>
    </ns0:row>
    <ns0:row r="34" ht="15.75" customHeight="1" s="45">
      <ns0:c r="A34" s="14" t="inlineStr">
        <ns0:is>
          <ns0:t>Giá STT ($ / phút)</ns0:t>
        </ns0:is>
      </ns0:c>
      <ns0:c r="B34" s="51" t="n">
        <ns0:v>0</ns0:v>
      </ns0:c>
      <ns0:c r="D34" s="17" t="inlineStr">
        <ns0:is>
          <ns0:t>Deepgram streaming list $0,0077/phút</ns0:t>
        </ns0:is>
      </ns0:c>
    </ns0:row>
    <ns0:row r="35" ht="15.75" customHeight="1" s="45">
      <ns0:c r="A35" s="14" t="inlineStr">
        <ns0:is>
          <ns0:t>Số phút audio / job</ns0:t>
        </ns0:is>
      </ns0:c>
      <ns0:c r="B35" s="52" t="n">
        <ns0:v>0</ns0:v>
      </ns0:c>
      <ns0:c r="C35" s="17" t="inlineStr">
        <ns0:is>
          <ns0:t>phút</ns0:t>
        </ns0:is>
      </ns0:c>
    </ns0:row>
    <ns0:row r="36" ht="15.75" customHeight="1" s="45">
      <ns0:c r="A36" s="14" t="inlineStr">
        <ns0:is>
          <ns0:t>Giá TTS ($ / 1M ký tự)</ns0:t>
        </ns0:is>
      </ns0:c>
      <ns0:c r="B36" s="50" t="n">
        <ns0:v>0</ns0:v>
      </ns0:c>
      <ns0:c r="D36" s="17" t="inlineStr">
        <ns0:is>
          <ns0:t>ElevenLabs Flash $50 · Google Standard $4</ns0:t>
        </ns0:is>
      </ns0:c>
    </ns0:row>
    <ns0:row r="37" ht="15.75" customHeight="1" s="45">
      <ns0:c r="A37" s="14" t="inlineStr">
        <ns0:is>
          <ns0:t>Số ký tự TTS / job</ns0:t>
        </ns0:is>
      </ns0:c>
      <ns0:c r="B37" s="48" t="n">
        <ns0:v>0</ns0:v>
      </ns0:c>
      <ns0:c r="C37" s="17" t="inlineStr">
        <ns0:is>
          <ns0:t>ký tự</ns0:t>
        </ns0:is>
      </ns0:c>
      <ns0:c r="D37" s="17" t="inlineStr">
        <ns0:is>
          <ns0:t>≈ 900 ký tự cho mỗi phút bot nói</ns0:t>
        </ns0:is>
      </ns0:c>
    </ns0:row>
    <ns0:row r="38" ht="15.75" customHeight="1" s="45">
      <ns0:c r="A38" s="14" t="inlineStr">
        <ns0:is>
          <ns0:t>→ Speech / job</ns0:t>
        </ns0:is>
      </ns0:c>
      <ns0:c r="B38" s="24">
        <ns0:f>B34*B35+B36*B37/1000000</ns0:f>
        <ns0:v>0</ns0:v>
      </ns0:c>
    </ns0:row>
    <ns0:row r="39" ht="15.75" customHeight="1" s="45"/>
    <ns0:row r="40" ht="15.75" customHeight="1" s="45">
      <ns0:c r="A40" s="7" t="inlineStr">
        <ns0:is>
          <ns0:t>S5. INFRA</ns0:t>
        </ns0:is>
      </ns0:c>
      <ns0:c r="B40" s="10" t="n"/>
      <ns0:c r="C40" s="10" t="n"/>
      <ns0:c r="D40" s="10" t="n"/>
      <ns0:c r="E40" s="10" t="n"/>
      <ns0:c r="F40" s="10" t="n"/>
      <ns0:c r="G40" s="10" t="n"/>
      <ns0:c r="H40" s="10" t="n"/>
    </ns0:row>
    <ns0:row r="41" ht="15.75" customHeight="1" s="45">
      <ns0:c r="A41" s="14" t="inlineStr">
        <ns0:is>
          <ns0:t>Infra / job ($)</ns0:t>
        </ns0:is>
      </ns0:c>
      <ns0:c r="B41" s="51" t="n">
        <ns0:v>10</ns0:v>
      </ns0:c>
      <ns0:c r="D41" s="17" t="inlineStr">
        <ns0:is>
          <ns0:t>Vector DB, embedding, storage, logging</ns0:t>
        </ns0:is>
      </ns0:c>
    </ns0:row>
    <ns0:row r="42" ht="15.75" customHeight="1" s="45">
      <ns0:c r="A42" s="14" t="inlineStr">
        <ns0:is>
          <ns0:t>Telephony ($ / phút)</ns0:t>
        </ns0:is>
      </ns0:c>
      <ns0:c r="B42" s="51" t="n">
        <ns0:v>0</ns0:v>
      </ns0:c>
    </ns0:row>
    <ns0:row r="43" ht="15.75" customHeight="1" s="45">
      <ns0:c r="A43" s="14" t="inlineStr">
        <ns0:is>
          <ns0:t>→ Infra / job</ns0:t>
        </ns0:is>
      </ns0:c>
      <ns0:c r="B43" s="24">
        <ns0:f>B41+B42*B35</ns0:f>
        <ns0:v>10</ns0:v>
      </ns0:c>
    </ns0:row>
    <ns0:row r="44" ht="15.75" customHeight="1" s="45"/>
    <ns0:row r="45" ht="15.75" customHeight="1" s="45">
      <ns0:c r="A45" s="7" t="inlineStr">
        <ns0:is>
          <ns0:t>S6. RETRY</ns0:t>
        </ns0:is>
      </ns0:c>
      <ns0:c r="B45" s="10" t="n"/>
      <ns0:c r="C45" s="10" t="n"/>
      <ns0:c r="D45" s="10" t="n"/>
      <ns0:c r="E45" s="10" t="n"/>
      <ns0:c r="F45" s="10" t="n"/>
      <ns0:c r="G45" s="10" t="n"/>
      <ns0:c r="H45" s="10" t="n"/>
    </ns0:row>
    <ns0:row r="46" ht="15.75" customHeight="1" s="45">
      <ns0:c r="A46" s="14" t="inlineStr">
        <ns0:is>
          <ns0:t>Tỷ lệ job phải chạy lại</ns0:t>
        </ns0:is>
      </ns0:c>
      <ns0:c r="B46" s="49" t="n">
        <ns0:v>0.08</ns0:v>
      </ns0:c>
      <ns0:c r="D46" s="17" t="inlineStr">
        <ns0:is>
          <ns0:t>ĐỪNG để 0%. Thực tế 5–10% là bình thường</ns0:t>
        </ns0:is>
      </ns0:c>
    </ns0:row>
    <ns0:row r="47" ht="15.75" customHeight="1" s="45">
      <ns0:c r="A47" s="14" t="inlineStr">
        <ns0:is>
          <ns0:t>→ Retry / job</ns0:t>
        </ns0:is>
      </ns0:c>
      <ns0:c r="B47" s="24">
        <ns0:f>(B31+B38)*B46</ns0:f>
        <ns0:v>0.008032</ns0:v>
      </ns0:c>
    </ns0:row>
    <ns0:row r="48" ht="15.75" customHeight="1" s="45"/>
    <ns0:row r="49" ht="15.75" customHeight="1" s="45">
      <ns0:c r="A49" s="7" t="inlineStr">
        <ns0:is>
          <ns0:t>S7. HITL — người trong vòng lặp</ns0:t>
        </ns0:is>
      </ns0:c>
      <ns0:c r="B49" s="10" t="n"/>
      <ns0:c r="C49" s="10" t="n"/>
      <ns0:c r="D49" s="10" t="n"/>
      <ns0:c r="E49" s="10" t="n"/>
      <ns0:c r="F49" s="10" t="n"/>
      <ns0:c r="G49" s="10" t="n"/>
      <ns0:c r="H49" s="10" t="n"/>
    </ns0:row>
    <ns0:row r="50" ht="15.75" customHeight="1" s="45">
      <ns0:c r="A50" s="14" t="inlineStr">
        <ns0:is>
          <ns0:t>Chi phí nhân sự ($ / giờ, fully-loaded)</ns0:t>
        </ns0:is>
      </ns0:c>
      <ns0:c r="B50" s="50" t="n">
        <ns0:v>20</ns0:v>
      </ns0:c>
      <ns0:c r="D50" s="17" t="inlineStr">
        <ns0:is>
          <ns0:t>Gồm lương + bảo hiểm + quản lý + chỗ ngồi</ns0:t>
        </ns0:is>
      </ns0:c>
    </ns0:row>
    <ns0:row r="51" ht="15.75" customHeight="1" s="45">
      <ns0:c r="A51" s="14" t="inlineStr">
        <ns0:is>
          <ns0:t>% hội thoại QA nội bộ</ns0:t>
        </ns0:is>
      </ns0:c>
      <ns0:c r="B51" s="49" t="n">
        <ns0:v>0.25</ns0:v>
      </ns0:c>
      <ns0:c r="D51" s="17" t="inlineStr">
        <ns0:is>
          <ns0:t>Luôn có, kể cả Biến thể A</ns0:t>
        </ns0:is>
      </ns0:c>
    </ns0:row>
    <ns0:row r="52" ht="15.75" customHeight="1" s="45">
      <ns0:c r="A52" s="14" t="inlineStr">
        <ns0:is>
          <ns0:t>Số phút QA / ca</ns0:t>
        </ns0:is>
      </ns0:c>
      <ns0:c r="B52" s="52" t="n">
        <ns0:v>15</ns0:v>
      </ns0:c>
      <ns0:c r="C52" s="17" t="inlineStr">
        <ns0:is>
          <ns0:t>phút</ns0:t>
        </ns0:is>
      </ns0:c>
    </ns0:row>
    <ns0:row r="53" ht="15.75" customHeight="1" s="45">
      <ns0:c r="A53" s="14" t="inlineStr">
        <ns0:is>
          <ns0:t>Số phút xử lý 1 ca escalate</ns0:t>
        </ns0:is>
      </ns0:c>
      <ns0:c r="B53" s="52" t="n">
        <ns0:v>20</ns0:v>
      </ns0:c>
      <ns0:c r="C53" s="17" t="inlineStr">
        <ns0:is>
          <ns0:t>phút</ns0:t>
        </ns0:is>
      </ns0:c>
    </ns0:row>
    <ns0:row r="54" ht="15.75" customHeight="1" s="45">
      <ns0:c r="A54" s="14" t="inlineStr">
        <ns0:is>
          <ns0:t>→ QA nội bộ / tháng</ns0:t>
        </ns0:is>
      </ns0:c>
      <ns0:c r="B54" s="32">
        <ns0:f>B9*B51*(B52/60)*B50</ns0:f>
        <ns0:v>50</ns0:v>
      </ns0:c>
    </ns0:row>
    <ns0:row r="55" ht="15.75" customHeight="1" s="45">
      <ns0:c r="A55" s="14" t="inlineStr">
        <ns0:is>
          <ns0:t>→ Escalation / tháng (chỉ Biến thể B)</ns0:t>
        </ns0:is>
      </ns0:c>
      <ns0:c r="B55" s="32">
        <ns0:f>IF(B6="B",B12*(B53/60)*B50,0)</ns0:f>
        <ns0:v>0</ns0:v>
      </ns0:c>
      <ns0:c r="D55" s="17" t="inlineStr">
        <ns0:is>
          <ns0:t>Biến thể A → 0 vì khách tự chịu</ns0:t>
        </ns0:is>
      </ns0:c>
    </ns0:row>
    <ns0:row r="56" ht="15.75" customHeight="1" s="45">
      <ns0:c r="A56" s="12" t="inlineStr">
        <ns0:is>
          <ns0:t>→ Tổng HITL / tháng</ns0:t>
        </ns0:is>
      </ns0:c>
      <ns0:c r="B56" s="33">
        <ns0:f>B54+B55</ns0:f>
        <ns0:v>50</ns0:v>
      </ns0:c>
    </ns0:row>
    <ns0:row r="57" ht="15.75" customHeight="1" s="45"/>
    <ns0:row r="58" ht="15.75" customHeight="1" s="45">
      <ns0:c r="A58" s="7" t="inlineStr">
        <ns0:is>
          <ns0:t>S8. OVERHEAD (tuỳ chọn)</ns0:t>
        </ns0:is>
      </ns0:c>
      <ns0:c r="B58" s="10" t="n"/>
      <ns0:c r="C58" s="10" t="n"/>
      <ns0:c r="D58" s="10" t="n"/>
      <ns0:c r="E58" s="10" t="n"/>
      <ns0:c r="F58" s="10" t="n"/>
      <ns0:c r="G58" s="10" t="n"/>
      <ns0:c r="H58" s="10" t="n"/>
    </ns0:row>
    <ns0:row r="59" ht="15.75" customHeight="1" s="45">
      <ns0:c r="A59" s="14" t="inlineStr">
        <ns0:is>
          <ns0:t>R&amp;D + Sales phân bổ / tháng ($)</ns0:t>
        </ns0:is>
      </ns0:c>
      <ns0:c r="B59" s="50" t="n">
        <ns0:v>300</ns0:v>
      </ns0:c>
      <ns0:c r="D59" s="17" t="inlineStr">
        <ns0:is>
          <ns0:t>Để 0 nếu chỉ muốn xem Cost/Job thuần COGS</ns0:t>
        </ns0:is>
      </ns0:c>
    </ns0:row>
    <ns0:row r="60" ht="15.75" customHeight="1" s="45"/>
    <ns0:row r="61" ht="15.75" customHeight="1" s="45">
      <ns0:c r="A61" s="7" t="inlineStr">
        <ns0:is>
          <ns0:t>KẾT QUẢ</ns0:t>
        </ns0:is>
      </ns0:c>
      <ns0:c r="B61" s="10" t="n"/>
      <ns0:c r="C61" s="10" t="n"/>
      <ns0:c r="D61" s="10" t="n"/>
      <ns0:c r="E61" s="10" t="n"/>
      <ns0:c r="F61" s="10" t="n"/>
      <ns0:c r="G61" s="10" t="n"/>
      <ns0:c r="H61" s="10" t="n"/>
    </ns0:row>
    <ns0:row r="62" ht="15.75" customHeight="1" s="45">
      <ns0:c r="A62" s="14" t="inlineStr">
        <ns0:is>
          <ns0:t>Chi phí biến đổi / tháng (API + Speech + Infra + Retry)</ns0:t>
        </ns0:is>
      </ns0:c>
      <ns0:c r="B62" s="32">
        <ns0:f>B9*(B31+B38+B43+B47)</ns0:f>
        <ns0:v>404.33728</ns0:v>
      </ns0:c>
    </ns0:row>
    <ns0:row r="63" ht="15.75" customHeight="1" s="45">
      <ns0:c r="A63" s="14" t="inlineStr">
        <ns0:is>
          <ns0:t>HITL / tháng</ns0:t>
        </ns0:is>
      </ns0:c>
      <ns0:c r="B63" s="32">
        <ns0:f>B56</ns0:f>
        <ns0:v>50</ns0:v>
      </ns0:c>
    </ns0:row>
    <ns0:row r="64" ht="15.75" customHeight="1" s="45">
      <ns0:c r="A64" s="14" t="inlineStr">
        <ns0:is>
          <ns0:t>Overhead / tháng</ns0:t>
        </ns0:is>
      </ns0:c>
      <ns0:c r="B64" s="32">
        <ns0:f>B59</ns0:f>
        <ns0:v>300</ns0:v>
      </ns0:c>
    </ns0:row>
    <ns0:row r="65" ht="15.75" customHeight="1" s="45">
      <ns0:c r="A65" s="14" t="inlineStr">
        <ns0:is>
          <ns0:t>TỔNG CHI PHÍ / tháng</ns0:t>
        </ns0:is>
      </ns0:c>
      <ns0:c r="B65" s="32">
        <ns0:f>B62+B63+B64</ns0:f>
        <ns0:v>754.33728</ns0:v>
      </ns0:c>
    </ns0:row>
    <ns0:row r="66" ht="15.75" customHeight="1" s="45">
      <ns0:c r="A66" s="12" t="inlineStr">
        <ns0:is>
          <ns0:t>★ COST/JOB (chưa overhead)</ns0:t>
        </ns0:is>
      </ns0:c>
      <ns0:c r="B66" s="23">
        <ns0:f>IF(B11=0,0,(B62+B63)/B11)</ns0:f>
        <ns0:v>15.144576</ns0:v>
      </ns0:c>
      <ns0:c r="C66" s="17" t="inlineStr">
        <ns0:is>
          <ns0:t>$/job</ns0:t>
        </ns0:is>
      </ns0:c>
      <ns0:c r="D66" s="17" t="inlineStr">
        <ns0:is>
          <ns0:t>Con số chảy sang tab 2_Pricing</ns0:t>
        </ns0:is>
      </ns0:c>
    </ns0:row>
    <ns0:row r="67" ht="15.75" customHeight="1" s="45">
      <ns0:c r="A67" s="12" t="inlineStr">
        <ns0:is>
          <ns0:t>★ COST/JOB (có overhead)</ns0:t>
        </ns0:is>
      </ns0:c>
      <ns0:c r="B67" s="23">
        <ns0:f>IF(B11=0,0,B65/B11)</ns0:f>
        <ns0:v>25.144576</ns0:v>
      </ns0:c>
      <ns0:c r="C67" s="17" t="inlineStr">
        <ns0:is>
          <ns0:t>$/job</ns0:t>
        </ns0:is>
      </ns0:c>
    </ns0:row>
    <ns0:row r="68" ht="15.75" customHeight="1" s="45">
      <ns0:c r="A68" s="14" t="inlineStr">
        <ns0:is>
          <ns0:t>Tỷ giá (₫ / USD) — giả định</ns0:t>
        </ns0:is>
      </ns0:c>
      <ns0:c r="B68" s="48" t="n">
        <ns0:v>26160</ns0:v>
      </ns0:c>
      <ns0:c r="C68" s="17" t="inlineStr">
        <ns0:is>
          <ns0:t>₫/USD</ns0:t>
        </ns0:is>
      </ns0:c>
      <ns0:c r="D68" s="17" t="inlineStr">
        <ns0:is>
          <ns0:t>Thay bằng tỷ giá thực tế khi làm bài</ns0:t>
        </ns0:is>
      </ns0:c>
    </ns0:row>
    <ns0:row r="69" ht="15.75" customHeight="1" s="45">
      <ns0:c r="A69" s="14" t="inlineStr">
        <ns0:is>
          <ns0:t>→ Cost/Job quy đổi</ns0:t>
        </ns0:is>
      </ns0:c>
      <ns0:c r="B69" s="36">
        <ns0:f>B66*B68</ns0:f>
        <ns0:v>396182.10816</ns0:v>
      </ns0:c>
      <ns0:c r="C69" s="17" t="inlineStr">
        <ns0:is>
          <ns0:t>₫/job</ns0:t>
        </ns0:is>
      </ns0:c>
    </ns0:row>
    <ns0:row r="70" ht="15.75" customHeight="1" s="45"/>
    <ns0:row r="71" ht="15.75" customHeight="1" s="45">
      <ns0:c r="A71" s="7" t="inlineStr">
        <ns0:is>
          <ns0:t>THÀNH PHẦN NÀO ĂN NHIỀU NHẤT? (kiểm tra nhanh)</ns0:t>
        </ns0:is>
      </ns0:c>
      <ns0:c r="B71" s="10" t="n"/>
      <ns0:c r="C71" s="10" t="n"/>
      <ns0:c r="D71" s="10" t="n"/>
      <ns0:c r="E71" s="10" t="n"/>
      <ns0:c r="F71" s="10" t="n"/>
      <ns0:c r="G71" s="10" t="n"/>
      <ns0:c r="H71" s="10" t="n"/>
    </ns0:row>
    <ns0:row r="72" ht="15.75" customHeight="1" s="45">
      <ns0:c r="A72" s="14" t="inlineStr">
        <ns0:is>
          <ns0:t>LLM</ns0:t>
        </ns0:is>
      </ns0:c>
      <ns0:c r="B72" s="32">
        <ns0:f>B9*B31</ns0:f>
        <ns0:v>4.016</ns0:v>
      </ns0:c>
      <ns0:c r="C72" s="28">
        <ns0:f>IF($B$65=0,0,B72/$B$65)</ns0:f>
        <ns0:v>0.00532387846455103</ns0:v>
      </ns0:c>
    </ns0:row>
    <ns0:row r="73" ht="15.75" customHeight="1" s="45">
      <ns0:c r="A73" s="14" t="inlineStr">
        <ns0:is>
          <ns0:t>Speech</ns0:t>
        </ns0:is>
      </ns0:c>
      <ns0:c r="B73" s="32">
        <ns0:f>B9*B38</ns0:f>
        <ns0:v>0</ns0:v>
      </ns0:c>
      <ns0:c r="C73" s="28">
        <ns0:f>IF($B$65=0,0,B73/$B$65)</ns0:f>
        <ns0:v>0</ns0:v>
      </ns0:c>
    </ns0:row>
    <ns0:row r="74" ht="15.75" customHeight="1" s="45">
      <ns0:c r="A74" s="14" t="inlineStr">
        <ns0:is>
          <ns0:t>Infra</ns0:t>
        </ns0:is>
      </ns0:c>
      <ns0:c r="B74" s="32">
        <ns0:f>B9*B43</ns0:f>
        <ns0:v>400</ns0:v>
      </ns0:c>
      <ns0:c r="C74" s="28">
        <ns0:f>IF($B$65=0,0,B74/$B$65)</ns0:f>
        <ns0:v>0.530266779337752</ns0:v>
      </ns0:c>
    </ns0:row>
    <ns0:row r="75" ht="15.75" customHeight="1" s="45">
      <ns0:c r="A75" s="14" t="inlineStr">
        <ns0:is>
          <ns0:t>Retry</ns0:t>
        </ns0:is>
      </ns0:c>
      <ns0:c r="B75" s="32">
        <ns0:f>B9*B47</ns0:f>
        <ns0:v>0.32128</ns0:v>
      </ns0:c>
      <ns0:c r="C75" s="28">
        <ns0:f>IF($B$65=0,0,B75/$B$65)</ns0:f>
        <ns0:v>0.000425910277164082</ns0:v>
      </ns0:c>
    </ns0:row>
    <ns0:row r="76" ht="15.75" customHeight="1" s="45">
      <ns0:c r="A76" s="14" t="inlineStr">
        <ns0:is>
          <ns0:t>HITL</ns0:t>
        </ns0:is>
      </ns0:c>
      <ns0:c r="B76" s="32">
        <ns0:f>B56</ns0:f>
        <ns0:v>50</ns0:v>
      </ns0:c>
      <ns0:c r="C76" s="28">
        <ns0:f>IF($B$65=0,0,B76/$B$65)</ns0:f>
        <ns0:v>0.066283347417219</ns0:v>
      </ns0:c>
    </ns0:row>
    <ns0:row r="77" ht="15.75" customHeight="1" s="45">
      <ns0:c r="A77" s="14" t="inlineStr">
        <ns0:is>
          <ns0:t>Overhead</ns0:t>
        </ns0:is>
      </ns0:c>
      <ns0:c r="B77" s="32">
        <ns0:f>B59</ns0:f>
        <ns0:v>300</ns0:v>
      </ns0:c>
      <ns0:c r="C77" s="28">
        <ns0:f>IF($B$65=0,0,B77/$B$65)</ns0:f>
        <ns0:v>0.397700084503314</ns0:v>
      </ns0:c>
    </ns0:row>
    <ns0:row r="78" ht="15.75" customHeight="1" s="45">
      <ns0:c r="A78" s="17" t="inlineStr">
        <ns0:is>
          <ns0:t>Nếu LLM chiếm &gt;80% thì gần như chắc chắn bạn đang thiếu chi phí ở S5–S7.</ns0:t>
        </ns0:is>
      </ns0:c>
    </ns0:row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dataValidations count="1">
    <ns0:dataValidation sqref="B6" showDropDown="0" showInputMessage="0" showErrorMessage="0" allowBlank="1" type="list">
      <ns0:formula1>"A,B"</ns0:formula1>
    </ns0:dataValidation>
  </ns0:dataValidations>
  <ns0:pageMargins left="0.75" right="0.75" top="1" bottom="1" header="0" footer="0"/>
  <ns0:pageSetup orientation="portrait" paperSize="9"/>
  <ns0:legacyDrawing ns1:id="anysvml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H53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46" customWidth="1" style="45" min="1" max="1"/>
    <ns0:col width="16" customWidth="1" style="45" min="2" max="3"/>
    <ns0:col width="54" customWidth="1" style="45" min="4" max="4"/>
    <ns0:col width="15" customWidth="1" style="45" min="5" max="8"/>
    <ns0:col width="8.710000000000001" customWidth="1" style="45" min="9" max="26"/>
  </ns0:cols>
  <ns0:sheetData>
    <ns0:row r="1" ht="24" customHeight="1" s="45">
      <ns0:c r="A1" s="1" t="inlineStr">
        <ns0:is>
          <ns0:t>TAB 2 — PRICING SANITY CHECK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Trạm 3. Cost/Job tự lấy từ tab 1. Bạn điền giá bán và các con số neo giá.</ns0:t>
        </ns0:is>
      </ns0:c>
    </ns0:row>
    <ns0:row r="4">
      <ns0:c r="A4" s="7" t="inlineStr">
        <ns0:is>
          <ns0:t>GIÁ SÀN</ns0:t>
        </ns0:is>
      </ns0:c>
      <ns0:c r="B4" s="10" t="n"/>
      <ns0:c r="C4" s="10" t="n"/>
      <ns0:c r="D4" s="10" t="n"/>
      <ns0:c r="E4" s="10" t="n"/>
      <ns0:c r="F4" s="10" t="n"/>
      <ns0:c r="G4" s="10" t="n"/>
      <ns0:c r="H4" s="10" t="n"/>
    </ns0:row>
    <ns0:row r="5">
      <ns0:c r="A5" s="14" t="inlineStr">
        <ns0:is>
          <ns0:t>Cost/Job (từ tab 1_Cost_Job)</ns0:t>
        </ns0:is>
      </ns0:c>
      <ns0:c r="B5" s="20">
        <ns0:f>'1_Cost_Job'!B66</ns0:f>
        <ns0:v>15.144576</ns0:v>
      </ns0:c>
      <ns0:c r="C5" s="17" t="inlineStr">
        <ns0:is>
          <ns0:t>$/job</ns0:t>
        </ns0:is>
      </ns0:c>
    </ns0:row>
    <ns0:row r="6">
      <ns0:c r="A6" s="14" t="inlineStr">
        <ns0:is>
          <ns0:t>Hệ số an toàn tối thiểu</ns0:t>
        </ns0:is>
      </ns0:c>
      <ns0:c r="B6" s="52" t="n">
        <ns0:v>3</ns0:v>
      </ns0:c>
      <ns0:c r="C6" s="17" t="inlineStr">
        <ns0:is>
          <ns0:t>×</ns0:t>
        </ns0:is>
      </ns0:c>
      <ns0:c r="D6" s="17" t="inlineStr">
        <ns0:is>
          <ns0:t>Giá bán ≥ 3 × Cost/Job</ns0:t>
        </ns0:is>
      </ns0:c>
    </ns0:row>
    <ns0:row r="7">
      <ns0:c r="A7" s="12" t="inlineStr">
        <ns0:is>
          <ns0:t>→ GIÁ SÀN</ns0:t>
        </ns0:is>
      </ns0:c>
      <ns0:c r="B7" s="23">
        <ns0:f>B5*B6</ns0:f>
        <ns0:v>45.433728</ns0:v>
      </ns0:c>
      <ns0:c r="C7" s="17" t="inlineStr">
        <ns0:is>
          <ns0:t>$/job</ns0:t>
        </ns0:is>
      </ns0:c>
    </ns0:row>
    <ns0:row r="9">
      <ns0:c r="A9" s="7" t="inlineStr">
        <ns0:is>
          <ns0:t>GIÁ TRẦN — NEO THEO THỨ KHÁCH ĐANG CHI</ns0:t>
        </ns0:is>
      </ns0:c>
      <ns0:c r="B9" s="10" t="n"/>
      <ns0:c r="C9" s="10" t="n"/>
      <ns0:c r="D9" s="10" t="n"/>
      <ns0:c r="E9" s="10" t="n"/>
      <ns0:c r="F9" s="10" t="n"/>
      <ns0:c r="G9" s="10" t="n"/>
      <ns0:c r="H9" s="10" t="n"/>
    </ns0:row>
    <ns0:row r="10">
      <ns0:c r="A10" s="14" t="inlineStr">
        <ns0:is>
          <ns0:t>Giá trị khách tiết kiệm được / tháng ($)</ns0:t>
        </ns0:is>
      </ns0:c>
      <ns0:c r="B10" s="53" t="n">
        <ns0:v>1200</ns0:v>
      </ns0:c>
      <ns0:c r="D10" s="17" t="inlineStr">
        <ns0:is>
          <ns0:t>Neo theo giá trị</ns0:t>
        </ns0:is>
      </ns0:c>
    </ns0:row>
    <ns0:row r="11">
      <ns0:c r="A11" s="14" t="inlineStr">
        <ns0:is>
          <ns0:t>Số job / tháng của 1 khách</ns0:t>
        </ns0:is>
      </ns0:c>
      <ns0:c r="B11" s="48" t="n">
        <ns0:v>3</ns0:v>
      </ns0:c>
      <ns0:c r="C11" s="17" t="inlineStr">
        <ns0:is>
          <ns0:t>job</ns0:t>
        </ns0:is>
      </ns0:c>
    </ns0:row>
    <ns0:row r="12">
      <ns0:c r="A12" s="14" t="inlineStr">
        <ns0:is>
          <ns0:t>→ Trần theo giá trị — mức 10%</ns0:t>
        </ns0:is>
      </ns0:c>
      <ns0:c r="B12" s="24">
        <ns0:f>IF(B11=0,0,B10*0.1/B11)</ns0:f>
        <ns0:v>40</ns0:v>
      </ns0:c>
      <ns0:c r="C12" s="17" t="inlineStr">
        <ns0:is>
          <ns0:t>$/job</ns0:t>
        </ns0:is>
      </ns0:c>
    </ns0:row>
    <ns0:row r="13">
      <ns0:c r="A13" s="14" t="inlineStr">
        <ns0:is>
          <ns0:t>→ Trần theo giá trị — mức 25%</ns0:t>
        </ns0:is>
      </ns0:c>
      <ns0:c r="B13" s="24">
        <ns0:f>IF(B11=0,0,B10*0.25/B11)</ns0:f>
        <ns0:v>100</ns0:v>
      </ns0:c>
      <ns0:c r="C13" s="17" t="inlineStr">
        <ns0:is>
          <ns0:t>$/job</ns0:t>
        </ns0:is>
      </ns0:c>
    </ns0:row>
    <ns0:row r="14">
      <ns0:c r="A14" s="14" t="inlineStr">
        <ns0:is>
          <ns0:t>Lương / tháng của vị trí bị thay ($)</ns0:t>
        </ns0:is>
      </ns0:c>
      <ns0:c r="B14" s="53" t="n">
        <ns0:v>2000</ns0:v>
      </ns0:c>
      <ns0:c r="D14" s="17" t="inlineStr">
        <ns0:is>
          <ns0:t>Neo theo nhân công</ns0:t>
        </ns0:is>
      </ns0:c>
    </ns0:row>
    <ns0:row r="15">
      <ns0:c r="A15" s="14" t="inlineStr">
        <ns0:is>
          <ns0:t>→ Trần theo nhân công — mức 50%</ns0:t>
        </ns0:is>
      </ns0:c>
      <ns0:c r="B15" s="24">
        <ns0:f>IF(B11=0,0,B14*0.5/B11)</ns0:f>
        <ns0:v>333.333333333333</ns0:v>
      </ns0:c>
      <ns0:c r="C15" s="17" t="inlineStr">
        <ns0:is>
          <ns0:t>$/job</ns0:t>
        </ns0:is>
      </ns0:c>
    </ns0:row>
    <ns0:row r="16">
      <ns0:c r="A16" s="14" t="inlineStr">
        <ns0:is>
          <ns0:t>→ Trần theo nhân công — mức 70%</ns0:t>
        </ns0:is>
      </ns0:c>
      <ns0:c r="B16" s="24">
        <ns0:f>IF(B11=0,0,B14*0.7/B11)</ns0:f>
        <ns0:v>466.666666666667</ns0:v>
      </ns0:c>
      <ns0:c r="C16" s="17" t="inlineStr">
        <ns0:is>
          <ns0:t>$/job</ns0:t>
        </ns0:is>
      </ns0:c>
    </ns0:row>
    <ns0:row r="18">
      <ns0:c r="A18" s="7" t="inlineStr">
        <ns0:is>
          <ns0:t>GIÁ BÁN CỦA BẠN</ns0:t>
        </ns0:is>
      </ns0:c>
      <ns0:c r="B18" s="10" t="n"/>
      <ns0:c r="C18" s="10" t="n"/>
      <ns0:c r="D18" s="10" t="n"/>
      <ns0:c r="E18" s="10" t="n"/>
      <ns0:c r="F18" s="10" t="n"/>
      <ns0:c r="G18" s="10" t="n"/>
      <ns0:c r="H18" s="10" t="n"/>
    </ns0:row>
    <ns0:row r="19">
      <ns0:c r="A19" s="14" t="inlineStr">
        <ns0:is>
          <ns0:t>★ Giá bán đề xuất ($ / job)</ns0:t>
        </ns0:is>
      </ns0:c>
      <ns0:c r="B19" s="51" t="n">
        <ns0:v>60</ns0:v>
      </ns0:c>
      <ns0:c r="C19" s="17" t="inlineStr">
        <ns0:is>
          <ns0:t>$/job</ns0:t>
        </ns0:is>
      </ns0:c>
      <ns0:c r="D19" s="17" t="inlineStr">
        <ns0:is>
          <ns0:t>Tham chiếu: Intercom Fin $0,99 · Zendesk $1,50</ns0:t>
        </ns0:is>
      </ns0:c>
    </ns0:row>
    <ns0:row r="20">
      <ns0:c r="A20" s="14" t="inlineStr">
        <ns0:is>
          <ns0:t>→ Bội số so với Cost/Job</ns0:t>
        </ns0:is>
      </ns0:c>
      <ns0:c r="B20" s="30">
        <ns0:f>IF(B5=0,0,B19/B5)</ns0:f>
        <ns0:v>3.96181444762798</ns0:v>
      </ns0:c>
    </ns0:row>
    <ns0:row r="21" ht="15.75" customHeight="1" s="45">
      <ns0:c r="A21" s="12" t="inlineStr">
        <ns0:is>
          <ns0:t>→ GROSS MARGIN</ns0:t>
        </ns0:is>
      </ns0:c>
      <ns0:c r="B21" s="31">
        <ns0:f>IF(B19=0,0,(B19-B5)/B19)</ns0:f>
        <ns0:v>0.7475904</ns0:v>
      </ns0:c>
    </ns0:row>
    <ns0:row r="22" ht="15.75" customHeight="1" s="45">
      <ns0:c r="A22" s="14" t="inlineStr">
        <ns0:is>
          <ns0:t>→ Đèn: bội số ≥ 3?</ns0:t>
        </ns0:is>
      </ns0:c>
      <ns0:c r="B22" s="8" t="str">
        <ns0:f>IF(B20&gt;=B6,"OK — ĐẠT","KHÔNG ĐẠT — quay lại tab 1")</ns0:f>
        <ns0:v>OK — ĐẠT</ns0:v>
      </ns0:c>
    </ns0:row>
    <ns0:row r="23" ht="15.75" customHeight="1" s="45">
      <ns0:c r="A23" s="14" t="inlineStr">
        <ns0:is>
          <ns0:t>→ Đèn: Gross Margin</ns0:t>
        </ns0:is>
      </ns0:c>
      <ns0:c r="B23" s="8" t="str">
        <ns0:f>IF(B21&gt;=0.6,"OK — AN TOÀN (≥60%)",IF(B21&gt;=0.5,"CẢNH BÁO (50–60%)","NGUY HIỂM (&lt;50%)"))</ns0:f>
        <ns0:v>OK — AN TOÀN (≥60%)</ns0:v>
      </ns0:c>
    </ns0:row>
    <ns0:row r="24" ht="15.75" customHeight="1" s="45">
      <ns0:c r="A24" s="14" t="inlineStr">
        <ns0:is>
          <ns0:t>→ Đèn: GM có cao bất thường?</ns0:t>
        </ns0:is>
      </ns0:c>
      <ns0:c r="B24" s="8" t="str">
        <ns0:f>IF(B21&gt;0.85,"NGHI NGỜ — nhiều khả năng bạn quên một khoản chi phí","OK")</ns0:f>
        <ns0:v>OK</ns0:v>
      </ns0:c>
    </ns0:row>
    <ns0:row r="25" ht="15.75" customHeight="1" s="45">
      <ns0:c r="A25" s="14" t="inlineStr">
        <ns0:is>
          <ns0:t>→ Giá bán nằm trong vùng neo?</ns0:t>
        </ns0:is>
      </ns0:c>
      <ns0:c r="B25" s="8" t="str">
        <ns0:f>IF(AND(B19&gt;=B7,B19&lt;=MAX(B13,B16)),"OK — trong vùng giá bán","XEM LẠI — ngoài vùng giá sàn/trần")</ns0:f>
        <ns0:v>OK — trong vùng giá bán</ns0:v>
      </ns0:c>
    </ns0:row>
    <ns0:row r="26" ht="15.75" customHeight="1" s="45"/>
    <ns0:row r="27" ht="15.75" customHeight="1" s="45">
      <ns0:c r="A27" s="7" t="inlineStr">
        <ns0:is>
          <ns0:t>BREAKEVEN CONTAINMENT — ngưỡng sống còn</ns0:t>
        </ns0:is>
      </ns0:c>
      <ns0:c r="B27" s="10" t="n"/>
      <ns0:c r="C27" s="10" t="n"/>
      <ns0:c r="D27" s="10" t="n"/>
      <ns0:c r="E27" s="10" t="n"/>
      <ns0:c r="F27" s="10" t="n"/>
      <ns0:c r="G27" s="10" t="n"/>
      <ns0:c r="H27" s="10" t="n"/>
    </ns0:row>
    <ns0:row r="28" ht="15.75" customHeight="1" s="45">
      <ns0:c r="A28" s="17" t="inlineStr">
        <ns0:is>
          <ns0:t>Ký hiệu: v = chi phí biến đổi / job thử · q = QA / job thử · e = chi phí 1 ca escalate</ns0:t>
        </ns0:is>
      </ns0:c>
    </ns0:row>
    <ns0:row r="29" ht="15.75" customHeight="1" s="45">
      <ns0:c r="A29" s="14" t="inlineStr">
        <ns0:is>
          <ns0:t>v — chi phí biến đổi / job thử</ns0:t>
        </ns0:is>
      </ns0:c>
      <ns0:c r="B29" s="20">
        <ns0:f>'1_Cost_Job'!B31+'1_Cost_Job'!B38+'1_Cost_Job'!B43+'1_Cost_Job'!B47</ns0:f>
        <ns0:v>10.108432</ns0:v>
      </ns0:c>
    </ns0:row>
    <ns0:row r="30" ht="15.75" customHeight="1" s="45">
      <ns0:c r="A30" s="14" t="inlineStr">
        <ns0:is>
          <ns0:t>q — QA nội bộ / job thử</ns0:t>
        </ns0:is>
      </ns0:c>
      <ns0:c r="B30" s="20">
        <ns0:f>'1_Cost_Job'!B51*('1_Cost_Job'!B52/60)*'1_Cost_Job'!B50</ns0:f>
        <ns0:v>1.25</ns0:v>
      </ns0:c>
    </ns0:row>
    <ns0:row r="31" ht="15.75" customHeight="1" s="45">
      <ns0:c r="A31" s="14" t="inlineStr">
        <ns0:is>
          <ns0:t>e — chi phí 1 ca escalate</ns0:t>
        </ns0:is>
      </ns0:c>
      <ns0:c r="B31" s="20">
        <ns0:f>IF('1_Cost_Job'!B6="B",('1_Cost_Job'!B53/60)*'1_Cost_Job'!B50,0)</ns0:f>
        <ns0:v>0</ns0:v>
      </ns0:c>
    </ns0:row>
    <ns0:row r="32" ht="15.75" customHeight="1" s="45">
      <ns0:c r="A32" s="14" t="inlineStr">
        <ns0:is>
          <ns0:t>Gross Margin mục tiêu</ns0:t>
        </ns0:is>
      </ns0:c>
      <ns0:c r="B32" s="49" t="n">
        <ns0:v>0.6</ns0:v>
      </ns0:c>
    </ns0:row>
    <ns0:row r="33" ht="15.75" customHeight="1" s="45">
      <ns0:c r="A33" s="12" t="inlineStr">
        <ns0:is>
          <ns0:t>★ Containment tối thiểu cần đạt</ns0:t>
        </ns0:is>
      </ns0:c>
      <ns0:c r="B33" s="31">
        <ns0:f>IF((B19*(1-B32)+B31)=0,0,(B29+B30+B31)/(B19*(1-B32)+B31))</ns0:f>
        <ns0:v>0.473268</ns0:v>
      </ns0:c>
      <ns0:c r="D33" s="17" t="inlineStr">
        <ns0:is>
          <ns0:t>Công thức: R ≥ (v+q+e) / (P×(1−GM)+e)</ns0:t>
        </ns0:is>
      </ns0:c>
    </ns0:row>
    <ns0:row r="34" ht="15.75" customHeight="1" s="45">
      <ns0:c r="A34" s="14" t="inlineStr">
        <ns0:is>
          <ns0:t>Containment hiện tại (từ tab 1)</ns0:t>
        </ns0:is>
      </ns0:c>
      <ns0:c r="B34" s="34">
        <ns0:f>'1_Cost_Job'!B10</ns0:f>
        <ns0:v>0.75</ns0:v>
      </ns0:c>
    </ns0:row>
    <ns0:row r="35" ht="15.75" customHeight="1" s="45">
      <ns0:c r="A35" s="14" t="inlineStr">
        <ns0:is>
          <ns0:t>→ Kết luận</ns0:t>
        </ns0:is>
      </ns0:c>
      <ns0:c r="B35" s="8" t="str">
        <ns0:f>IF(B34&gt;=B33,"ĐẠT — mô hình có lãi lành mạnh","CHƯA ĐẠT — phải tăng containment, tăng giá, hoặc đổi biến thể HITL")</ns0:f>
        <ns0:v>ĐẠT — mô hình có lãi lành mạnh</ns0:v>
      </ns0:c>
    </ns0:row>
    <ns0:row r="36" ht="15.75" customHeight="1" s="45"/>
    <ns0:row r="37" ht="15.75" customHeight="1" s="45">
      <ns0:c r="A37" s="7" t="inlineStr">
        <ns0:is>
          <ns0:t>SENSITIVITY — mô hình gãy ở đâu?</ns0:t>
        </ns0:is>
      </ns0:c>
      <ns0:c r="B37" s="10" t="n"/>
      <ns0:c r="C37" s="10" t="n"/>
      <ns0:c r="D37" s="10" t="n"/>
      <ns0:c r="E37" s="10" t="n"/>
      <ns0:c r="F37" s="10" t="n"/>
      <ns0:c r="G37" s="10" t="n"/>
      <ns0:c r="H37" s="10" t="n"/>
    </ns0:row>
    <ns0:row r="38" ht="15.75" customHeight="1" s="45">
      <ns0:c r="A38" s="27" t="inlineStr">
        <ns0:is>
          <ns0:t>Containment</ns0:t>
        </ns0:is>
      </ns0:c>
      <ns0:c r="B38" s="27" t="inlineStr">
        <ns0:is>
          <ns0:t>Cost/Job</ns0:t>
        </ns0:is>
      </ns0:c>
      <ns0:c r="C38" s="27" t="inlineStr">
        <ns0:is>
          <ns0:t>Gross Margin</ns0:t>
        </ns0:is>
      </ns0:c>
      <ns0:c r="D38" s="27" t="inlineStr">
        <ns0:is>
          <ns0:t>Đánh giá</ns0:t>
        </ns0:is>
      </ns0:c>
    </ns0:row>
    <ns0:row r="39" ht="15.75" customHeight="1" s="45">
      <ns0:c r="A39" s="40" t="n">
        <ns0:v>0.5</ns0:v>
      </ns0:c>
      <ns0:c r="B39" s="24">
        <ns0:f>($B$29+$B$30+$B$31*(1-A39))/A39</ns0:f>
        <ns0:v>22.716864</ns0:v>
      </ns0:c>
      <ns0:c r="C39" s="28">
        <ns0:f>IF($B$19=0,0,1-B39/$B$19)</ns0:f>
        <ns0:v>0.6213856</ns0:v>
      </ns0:c>
      <ns0:c r="D39" s="8" t="str">
        <ns0:f>IF(C39&gt;=0.6,"An toàn",IF(C39&gt;=0.5,"Cảnh báo","Nguy hiểm"))</ns0:f>
        <ns0:v>An toàn</ns0:v>
      </ns0:c>
    </ns0:row>
    <ns0:row r="40" ht="15.75" customHeight="1" s="45">
      <ns0:c r="A40" s="40" t="n">
        <ns0:v>0.6</ns0:v>
      </ns0:c>
      <ns0:c r="B40" s="24">
        <ns0:f>($B$29+$B$30+$B$31*(1-A40))/A40</ns0:f>
        <ns0:v>18.93072</ns0:v>
      </ns0:c>
      <ns0:c r="C40" s="28">
        <ns0:f>IF($B$19=0,0,1-B40/$B$19)</ns0:f>
        <ns0:v>0.684488</ns0:v>
      </ns0:c>
      <ns0:c r="D40" s="8" t="str">
        <ns0:f>IF(C40&gt;=0.6,"An toàn",IF(C40&gt;=0.5,"Cảnh báo","Nguy hiểm"))</ns0:f>
        <ns0:v>An toàn</ns0:v>
      </ns0:c>
    </ns0:row>
    <ns0:row r="41" ht="15.75" customHeight="1" s="45">
      <ns0:c r="A41" s="40" t="n">
        <ns0:v>0.7</ns0:v>
      </ns0:c>
      <ns0:c r="B41" s="24">
        <ns0:f>($B$29+$B$30+$B$31*(1-A41))/A41</ns0:f>
        <ns0:v>16.2263314285714</ns0:v>
      </ns0:c>
      <ns0:c r="C41" s="28">
        <ns0:f>IF($B$19=0,0,1-B41/$B$19)</ns0:f>
        <ns0:v>0.729561142857143</ns0:v>
      </ns0:c>
      <ns0:c r="D41" s="8" t="str">
        <ns0:f>IF(C41&gt;=0.6,"An toàn",IF(C41&gt;=0.5,"Cảnh báo","Nguy hiểm"))</ns0:f>
        <ns0:v>An toàn</ns0:v>
      </ns0:c>
    </ns0:row>
    <ns0:row r="42" ht="15.75" customHeight="1" s="45">
      <ns0:c r="A42" s="40" t="n">
        <ns0:v>0.8</ns0:v>
      </ns0:c>
      <ns0:c r="B42" s="24">
        <ns0:f>($B$29+$B$30+$B$31*(1-A42))/A42</ns0:f>
        <ns0:v>14.19804</ns0:v>
      </ns0:c>
      <ns0:c r="C42" s="28">
        <ns0:f>IF($B$19=0,0,1-B42/$B$19)</ns0:f>
        <ns0:v>0.763366</ns0:v>
      </ns0:c>
      <ns0:c r="D42" s="8" t="str">
        <ns0:f>IF(C42&gt;=0.6,"An toàn",IF(C42&gt;=0.5,"Cảnh báo","Nguy hiểm"))</ns0:f>
        <ns0:v>An toàn</ns0:v>
      </ns0:c>
    </ns0:row>
    <ns0:row r="43" ht="15.75" customHeight="1" s="45">
      <ns0:c r="A43" s="40" t="n">
        <ns0:v>0.9</ns0:v>
      </ns0:c>
      <ns0:c r="B43" s="24">
        <ns0:f>($B$29+$B$30+$B$31*(1-A43))/A43</ns0:f>
        <ns0:v>12.62048</ns0:v>
      </ns0:c>
      <ns0:c r="C43" s="28">
        <ns0:f>IF($B$19=0,0,1-B43/$B$19)</ns0:f>
        <ns0:v>0.789658666666667</ns0:v>
      </ns0:c>
      <ns0:c r="D43" s="8" t="str">
        <ns0:f>IF(C43&gt;=0.6,"An toàn",IF(C43&gt;=0.5,"Cảnh báo","Nguy hiểm"))</ns0:f>
        <ns0:v>An toàn</ns0:v>
      </ns0:c>
    </ns0:row>
    <ns0:row r="44" ht="15.75" customHeight="1" s="45">
      <ns0:c r="A44" s="40" t="n">
        <ns0:v>0.95</ns0:v>
      </ns0:c>
      <ns0:c r="B44" s="24">
        <ns0:f>($B$29+$B$30+$B$31*(1-A44))/A44</ns0:f>
        <ns0:v>11.9562442105263</ns0:v>
      </ns0:c>
      <ns0:c r="C44" s="28">
        <ns0:f>IF($B$19=0,0,1-B44/$B$19)</ns0:f>
        <ns0:v>0.800729263157895</ns0:v>
      </ns0:c>
      <ns0:c r="D44" s="8" t="str">
        <ns0:f>IF(C44&gt;=0.6,"An toàn",IF(C44&gt;=0.5,"Cảnh báo","Nguy hiểm"))</ns0:f>
        <ns0:v>An toàn</ns0:v>
      </ns0:c>
    </ns0:row>
    <ns0:row r="45" ht="15.75" customHeight="1" s="45"/>
    <ns0:row r="46" ht="15.75" customHeight="1" s="45">
      <ns0:c r="A46" s="17" t="inlineStr">
        <ns0:is>
          <ns0:t>Nhìn cột Gross Margin: mô hình của bạn mong manh đến mức nào khi AI làm sai nhiều hơn dự kiến?</ns0:t>
        </ns0:is>
      </ns0:c>
    </ns0:row>
    <ns0:row r="47" ht="15.75" customHeight="1" s="45"/>
    <ns0:row r="48" ht="15.75" customHeight="1" s="45">
      <ns0:c r="A48" s="7" t="inlineStr">
        <ns0:is>
          <ns0:t>5 CON SỐ PHẢI MANG SANG ONE-PAGER</ns0:t>
        </ns0:is>
      </ns0:c>
      <ns0:c r="B48" s="10" t="n"/>
      <ns0:c r="C48" s="10" t="n"/>
      <ns0:c r="D48" s="10" t="n"/>
      <ns0:c r="E48" s="10" t="n"/>
      <ns0:c r="F48" s="10" t="n"/>
      <ns0:c r="G48" s="10" t="n"/>
      <ns0:c r="H48" s="10" t="n"/>
    </ns0:row>
    <ns0:row r="49" ht="15.75" customHeight="1" s="45">
      <ns0:c r="A49" s="12" t="inlineStr">
        <ns0:is>
          <ns0:t>Cost/Job</ns0:t>
        </ns0:is>
      </ns0:c>
      <ns0:c r="B49" s="23">
        <ns0:f>B5</ns0:f>
        <ns0:v>15.144576</ns0:v>
      </ns0:c>
    </ns0:row>
    <ns0:row r="50" ht="15.75" customHeight="1" s="45">
      <ns0:c r="A50" s="12" t="inlineStr">
        <ns0:is>
          <ns0:t>Giá sàn (3×)</ns0:t>
        </ns0:is>
      </ns0:c>
      <ns0:c r="B50" s="23">
        <ns0:f>B7</ns0:f>
        <ns0:v>45.433728</ns0:v>
      </ns0:c>
    </ns0:row>
    <ns0:row r="51" ht="15.75" customHeight="1" s="45">
      <ns0:c r="A51" s="12" t="inlineStr">
        <ns0:is>
          <ns0:t>Giá bán đề xuất</ns0:t>
        </ns0:is>
      </ns0:c>
      <ns0:c r="B51" s="23">
        <ns0:f>B19</ns0:f>
        <ns0:v>60</ns0:v>
      </ns0:c>
    </ns0:row>
    <ns0:row r="52" ht="15.75" customHeight="1" s="45">
      <ns0:c r="A52" s="12" t="inlineStr">
        <ns0:is>
          <ns0:t>Gross Margin</ns0:t>
        </ns0:is>
      </ns0:c>
      <ns0:c r="B52" s="31">
        <ns0:f>B21</ns0:f>
        <ns0:v>0.7475904</ns0:v>
      </ns0:c>
    </ns0:row>
    <ns0:row r="53" ht="15.75" customHeight="1" s="45">
      <ns0:c r="A53" s="12" t="inlineStr">
        <ns0:is>
          <ns0:t>Breakeven containment</ns0:t>
        </ns0:is>
      </ns0:c>
      <ns0:c r="B53" s="31">
        <ns0:f>B33</ns0:f>
        <ns0:v>0.473268</ns0:v>
      </ns0:c>
    </ns0:row>
    <ns0:row r="54" ht="15.75" customHeight="1" s="45"/>
    <ns0:row r="55" ht="15.75" customHeight="1" s="45"/>
    <ns0:row r="56" ht="15.75" customHeight="1" s="45"/>
    <ns0:row r="57" ht="15.75" customHeight="1" s="45"/>
    <ns0:row r="58" ht="15.75" customHeight="1" s="45"/>
    <ns0:row r="59" ht="15.75" customHeight="1" s="45"/>
    <ns0:row r="60" ht="15.75" customHeight="1" s="45"/>
    <ns0:row r="61" ht="15.75" customHeight="1" s="45"/>
    <ns0:row r="62" ht="15.75" customHeight="1" s="45"/>
    <ns0:row r="63" ht="15.75" customHeight="1" s="45"/>
    <ns0:row r="64" ht="15.75" customHeight="1" s="45"/>
    <ns0:row r="65" ht="15.75" customHeight="1" s="45"/>
    <ns0:row r="66" ht="15.75" customHeight="1" s="45"/>
    <ns0:row r="67" ht="15.75" customHeight="1" s="45"/>
    <ns0:row r="68" ht="15.75" customHeight="1" s="45"/>
    <ns0:row r="69" ht="15.75" customHeight="1" s="45"/>
    <ns0:row r="70" ht="15.75" customHeight="1" s="45"/>
    <ns0:row r="71" ht="15.75" customHeight="1" s="45"/>
    <ns0:row r="72" ht="15.75" customHeight="1" s="45"/>
    <ns0:row r="73" ht="15.75" customHeight="1" s="45"/>
    <ns0:row r="74" ht="15.75" customHeight="1" s="45"/>
    <ns0:row r="75" ht="15.75" customHeight="1" s="45"/>
    <ns0:row r="76" ht="15.75" customHeight="1" s="45"/>
    <ns0:row r="77" ht="15.75" customHeight="1" s="45"/>
    <ns0:row r="78" ht="15.75" customHeight="1" s="45"/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pageMargins left="0.75" right="0.75" top="1" bottom="1" header="0" footer="0"/>
  <ns0:pageSetup orientation="portrait" paperSize="9"/>
  <ns0:legacyDrawing ns1:id="anysvml"/>
</ns0:worksheet>
</file>

<file path=xl/worksheets/sheet4.xml><?xml version="1.0" encoding="utf-8"?>
<ns0:worksheet xmlns:ns0="http://schemas.openxmlformats.org/spreadsheetml/2006/main">
  <ns0:sheetPr>
    <ns0:outlinePr summaryBelow="1" summaryRight="1"/>
    <ns0:pageSetUpPr/>
  </ns0:sheetPr>
  <ns0:dimension ref="A1:H34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72" customWidth="1" style="45" min="1" max="1"/>
    <ns0:col width="12" customWidth="1" style="45" min="2" max="2"/>
    <ns0:col width="50" customWidth="1" style="45" min="3" max="3"/>
    <ns0:col width="46" customWidth="1" style="45" min="4" max="4"/>
    <ns0:col width="15" customWidth="1" style="45" min="5" max="8"/>
    <ns0:col width="8.710000000000001" customWidth="1" style="45" min="9" max="26"/>
  </ns0:cols>
  <ns0:sheetData>
    <ns0:row r="1" ht="24" customHeight="1" s="45">
      <ns0:c r="A1" s="1" t="inlineStr">
        <ns0:is>
          <ns0:t>TAB 3 — VALUE METRIC SCORECARD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Trạm 2. Chấm 0 / 1 / 2 điểm cho mỗi câu, theo THỰC TẾ HÔM NAY.</ns0:t>
        </ns0:is>
      </ns0:c>
    </ns0:row>
    <ns0:row r="4">
      <ns0:c r="A4" s="7" t="inlineStr">
        <ns0:is>
          <ns0:t>A. ATTRIBUTION — bạn đo được kết quả là do AI tạo ra không?</ns0:t>
        </ns0:is>
      </ns0:c>
      <ns0:c r="B4" s="10" t="n"/>
      <ns0:c r="C4" s="10" t="n"/>
      <ns0:c r="D4" s="10" t="n"/>
      <ns0:c r="E4" s="10" t="n"/>
      <ns0:c r="F4" s="10" t="n"/>
      <ns0:c r="G4" s="10" t="n"/>
      <ns0:c r="H4" s="10" t="n"/>
    </ns0:row>
    <ns0:row r="5">
      <ns0:c r="A5" s="14" t="inlineStr">
        <ns0:is>
          <ns0:t>1. Tôi có log đầy đủ mỗi job AI xử lý, gắn được với kết quả cuối cùng</ns0:t>
        </ns0:is>
      </ns0:c>
      <ns0:c r="B5" s="47" t="n">
        <ns0:v>0</ns0:v>
      </ns0:c>
    </ns0:row>
    <ns0:row r="6">
      <ns0:c r="A6" s="14" t="inlineStr">
        <ns0:is>
          <ns0:t>2. Tôi có bộ eval đo được tỷ lệ AI làm đúng, có số liệu</ns0:t>
        </ns0:is>
      </ns0:c>
      <ns0:c r="B6" s="47" t="n">
        <ns0:v>0</ns0:v>
      </ns0:c>
    </ns0:row>
    <ns0:row r="7">
      <ns0:c r="A7" s="14" t="inlineStr">
        <ns0:is>
          <ns0:t>3. Khách hàng đồng ý với cách tôi định nghĩa 'thành công' của một job</ns0:t>
        </ns0:is>
      </ns0:c>
      <ns0:c r="B7" s="47" t="n">
        <ns0:v>0</ns0:v>
      </ns0:c>
    </ns0:row>
    <ns0:row r="8">
      <ns0:c r="A8" s="14" t="inlineStr">
        <ns0:is>
          <ns0:t>4. Tôi phân biệt được kết quả do AI tạo ra với kết quả do yếu tố khác</ns0:t>
        </ns0:is>
      </ns0:c>
      <ns0:c r="B8" s="47" t="n">
        <ns0:v>0</ns0:v>
      </ns0:c>
    </ns0:row>
    <ns0:row r="9">
      <ns0:c r="A9" s="14" t="inlineStr">
        <ns0:is>
          <ns0:t>5. Tôi viết được định nghĩa chặt như Intercom: cái gì tính tiền, cái gì không</ns0:t>
        </ns0:is>
      </ns0:c>
      <ns0:c r="B9" s="47" t="n">
        <ns0:v>1</ns0:v>
      </ns0:c>
    </ns0:row>
    <ns0:row r="10">
      <ns0:c r="A10" s="12" t="inlineStr">
        <ns0:is>
          <ns0:t>→ ĐIỂM ATTRIBUTION (tối đa 10)</ns0:t>
        </ns0:is>
      </ns0:c>
      <ns0:c r="B10" s="18">
        <ns0:f>SUM(B5:B9)</ns0:f>
        <ns0:v>1</ns0:v>
      </ns0:c>
    </ns0:row>
    <ns0:row r="12">
      <ns0:c r="A12" s="7" t="inlineStr">
        <ns0:is>
          <ns0:t>B. AUTONOMY — AI tự chạy hay cần người?</ns0:t>
        </ns0:is>
      </ns0:c>
      <ns0:c r="B12" s="10" t="n"/>
      <ns0:c r="C12" s="10" t="n"/>
      <ns0:c r="D12" s="10" t="n"/>
      <ns0:c r="E12" s="10" t="n"/>
      <ns0:c r="F12" s="10" t="n"/>
      <ns0:c r="G12" s="10" t="n"/>
      <ns0:c r="H12" s="10" t="n"/>
    </ns0:row>
    <ns0:row r="13">
      <ns0:c r="A13" s="14" t="inlineStr">
        <ns0:is>
          <ns0:t>1. AI hoàn thành job từ đầu đến cuối, không cần người bấm nút giữa chừng</ns0:t>
        </ns0:is>
      </ns0:c>
      <ns0:c r="B13" s="47" t="n">
        <ns0:v>0</ns0:v>
      </ns0:c>
    </ns0:row>
    <ns0:row r="14">
      <ns0:c r="A14" s="14" t="inlineStr">
        <ns0:is>
          <ns0:t>2. Job chạy được ngoài giờ hành chính mà không ai trực</ns0:t>
        </ns0:is>
      </ns0:c>
      <ns0:c r="B14" s="47" t="n">
        <ns0:v>0</ns0:v>
      </ns0:c>
    </ns0:row>
    <ns0:row r="15">
      <ns0:c r="A15" s="14" t="inlineStr">
        <ns0:is>
          <ns0:t>3. Khi AI không chắc, nó tự chuyển tiếp đúng chỗ — không cần người phân loại</ns0:t>
        </ns0:is>
      </ns0:c>
      <ns0:c r="B15" s="47" t="n">
        <ns0:v>0</ns0:v>
      </ns0:c>
    </ns0:row>
    <ns0:row r="16">
      <ns0:c r="A16" s="14" t="inlineStr">
        <ns0:is>
          <ns0:t>4. Tỷ lệ ca phải có người can thiệp dưới 20%</ns0:t>
        </ns0:is>
      </ns0:c>
      <ns0:c r="B16" s="47" t="n">
        <ns0:v>0</ns0:v>
      </ns0:c>
    </ns0:row>
    <ns0:row r="17">
      <ns0:c r="A17" s="14" t="inlineStr">
        <ns0:is>
          <ns0:t>5. Người vận hành chỉ kiểm tra mẫu (QA), không xử lý từng ca</ns0:t>
        </ns0:is>
      </ns0:c>
      <ns0:c r="B17" s="47" t="n">
        <ns0:v>0</ns0:v>
      </ns0:c>
    </ns0:row>
    <ns0:row r="18">
      <ns0:c r="A18" s="12" t="inlineStr">
        <ns0:is>
          <ns0:t>→ ĐIỂM AUTONOMY (tối đa 10)</ns0:t>
        </ns0:is>
      </ns0:c>
      <ns0:c r="B18" s="18">
        <ns0:f>SUM(B13:B17)</ns0:f>
        <ns0:v>0</ns0:v>
      </ns0:c>
    </ns0:row>
    <ns0:row r="20">
      <ns0:c r="A20" s="7" t="inlineStr">
        <ns0:is>
          <ns0:t>GỢI Ý CỦA MODEL</ns0:t>
        </ns0:is>
      </ns0:c>
      <ns0:c r="B20" s="10" t="n"/>
      <ns0:c r="C20" s="10" t="n"/>
      <ns0:c r="D20" s="10" t="n"/>
      <ns0:c r="E20" s="10" t="n"/>
      <ns0:c r="F20" s="10" t="n"/>
      <ns0:c r="G20" s="10" t="n"/>
      <ns0:c r="H20" s="10" t="n"/>
    </ns0:row>
    <ns0:row r="21" ht="15.75" customHeight="1" s="45">
      <ns0:c r="A21" s="12" t="inlineStr">
        <ns0:is>
          <ns0:t>→ Value Metric gợi ý</ns0:t>
        </ns0:is>
      </ns0:c>
      <ns0:c r="B21" s="26" t="str">
        <ns0:f>IF(AND(B10&gt;=7,B18&gt;=7),"OUTCOME",IF(AND(B10&gt;=7,B18&lt;7),"USAGE",IF(AND(B10&lt;7,B18&gt;=7),"USAGE (an toàn)","SEAT hoặc HYBRID")))</ns0:f>
        <ns0:v>SEAT hoặc HYBRID</ns0:v>
      </ns0:c>
    </ns0:row>
    <ns0:row r="22" ht="15.75" customHeight="1" s="45">
      <ns0:c r="A22" s="17" t="inlineStr">
        <ns0:is>
          <ns0:t>Ngưỡng 7/10 là quy ước của bài tập, không phải chuẩn ngành — dùng để buộc bạn ra quyết định, không phải để thay bạn quyết định.</ns0:t>
        </ns0:is>
      </ns0:c>
    </ns0:row>
    <ns0:row r="23" ht="15.75" customHeight="1" s="45"/>
    <ns0:row r="24" ht="15.75" customHeight="1" s="45">
      <ns0:c r="A24" s="7" t="inlineStr">
        <ns0:is>
          <ns0:t>BENCHMARK NGƯỢC — 2 sản phẩm thật cùng loại job</ns0:t>
        </ns0:is>
      </ns0:c>
      <ns0:c r="B24" s="10" t="n"/>
      <ns0:c r="C24" s="10" t="n"/>
      <ns0:c r="D24" s="10" t="n"/>
      <ns0:c r="E24" s="10" t="n"/>
      <ns0:c r="F24" s="10" t="n"/>
      <ns0:c r="G24" s="10" t="n"/>
      <ns0:c r="H24" s="10" t="n"/>
    </ns0:row>
    <ns0:row r="25" ht="15.75" customHeight="1" s="45">
      <ns0:c r="A25" s="27" t="inlineStr">
        <ns0:is>
          <ns0:t>Tên sản phẩm</ns0:t>
        </ns0:is>
      </ns0:c>
      <ns0:c r="B25" s="27" t="inlineStr">
        <ns0:is>
          <ns0:t>Value Metric</ns0:t>
        </ns0:is>
      </ns0:c>
      <ns0:c r="C25" s="27" t="inlineStr">
        <ns0:is>
          <ns0:t>Giá công bố</ns0:t>
        </ns0:is>
      </ns0:c>
      <ns0:c r="D25" s="27" t="inlineStr">
        <ns0:is>
          <ns0:t>Link nguồn</ns0:t>
        </ns0:is>
      </ns0:c>
    </ns0:row>
    <ns0:row r="26" ht="32" customHeight="1" s="45">
      <ns0:c r="A26" s="46" t="inlineStr">
        <ns0:is>
          <ns0:t>Swarmia Standard</ns0:t>
        </ns0:is>
      </ns0:c>
      <ns0:c r="B26" s="46" t="inlineStr">
        <ns0:is>
          <ns0:t>Seat</ns0:t>
        </ns0:is>
      </ns0:c>
      <ns0:c r="C26" s="46" t="inlineStr">
        <ns0:is>
          <ns0:t>$45/dev/tháng, annual billing</ns0:t>
        </ns0:is>
      </ns0:c>
      <ns0:c r="D26" s="46" t="inlineStr">
        <ns0:is>
          <ns0:t>https://www.swarmia.com/pricing/</ns0:t>
        </ns0:is>
      </ns0:c>
    </ns0:row>
    <ns0:row r="27" ht="32" customHeight="1" s="45">
      <ns0:c r="A27" s="46" t="inlineStr">
        <ns0:is>
          <ns0:t>LinearB Essentials</ns0:t>
        </ns0:is>
      </ns0:c>
      <ns0:c r="B27" s="46" t="inlineStr">
        <ns0:is>
          <ns0:t>Hybrid: seat + AI credits</ns0:t>
        </ns0:is>
      </ns0:c>
      <ns0:c r="C27" s="46" t="inlineStr">
        <ns0:is>
          <ns0:t>$29/user/tháng annual; 1.000 credits; thêm từ $0,015/credit</ns0:t>
        </ns0:is>
      </ns0:c>
      <ns0:c r="D27" s="46" t="inlineStr">
        <ns0:is>
          <ns0:t>https://linearb.io/pricing</ns0:t>
        </ns0:is>
      </ns0:c>
    </ns0:row>
    <ns0:row r="28" ht="15.75" customHeight="1" s="45"/>
    <ns0:row r="29" ht="15.75" customHeight="1" s="45">
      <ns0:c r="A29" s="7" t="inlineStr">
        <ns0:is>
          <ns0:t>QUYẾT ĐỊNH CUỐI</ns0:t>
        </ns0:is>
      </ns0:c>
      <ns0:c r="B29" s="10" t="n"/>
      <ns0:c r="C29" s="10" t="n"/>
      <ns0:c r="D29" s="10" t="n"/>
      <ns0:c r="E29" s="10" t="n"/>
      <ns0:c r="F29" s="10" t="n"/>
      <ns0:c r="G29" s="10" t="n"/>
      <ns0:c r="H29" s="10" t="n"/>
    </ns0:row>
    <ns0:row r="30" ht="32" customHeight="1" s="45">
      <ns0:c r="A30" s="14" t="inlineStr">
        <ns0:is>
          <ns0:t>Value Metric tôi chọn</ns0:t>
        </ns0:is>
      </ns0:c>
      <ns0:c r="B30" s="46" t="inlineStr">
        <ns0:is>
          <ns0:t>Hybrid</ns0:t>
        </ns0:is>
      </ns0:c>
    </ns0:row>
    <ns0:row r="31" ht="50.625" customHeight="1" s="45">
      <ns0:c r="A31" s="14" t="inlineStr">
        <ns0:is>
          <ns0:t>Nếu KHÁC gợi ý — lý do thị trường là gì?</ns0:t>
        </ns0:is>
      </ns0:c>
      <ns0:c r="B31" s="46" t="inlineStr">
        <ns0:is>
          <ns0:t>Không override: khớp Seat/Hybrid. CTO vẫn review, chưa đủ bằng chứng bán Outcome.</ns0:t>
        </ns0:is>
      </ns0:c>
    </ns0:row>
    <ns0:row r="32" ht="56.875" customHeight="1" s="45">
      <ns0:c r="A32" s="14" t="inlineStr">
        <ns0:is>
          <ns0:t>Decision Note — câu 1: tôi chọn đơn vị nào?</ns0:t>
        </ns0:is>
      </ns0:c>
      <ns0:c r="B32" s="46" t="inlineStr">
        <ns0:is>
          <ns0:t>Workspace fee cho kết nối + Usage/báo cáo AI-ready; từ báo cáo đầu, không báo cáo miễn phí.</ns0:t>
        </ns0:is>
      </ns0:c>
    </ns0:row>
    <ns0:row r="33" ht="57.5" customHeight="1" s="45">
      <ns0:c r="A33" s="14" t="inlineStr">
        <ns0:is>
          <ns0:t>Decision Note — câu 2: bằng chứng Attribution / Autonomy?</ns0:t>
        </ns0:is>
      </ns0:c>
      <ns0:c r="B33" s="46" t="inlineStr">
        <ns0:is>
          <ns0:t>Attribution 1/10; Autonomy 0/10. Chưa có log/eval/pilot; rule viết được nhưng chưa validate.</ns0:t>
        </ns0:is>
      </ns0:c>
    </ns0:row>
    <ns0:row r="34" ht="58.125" customHeight="1" s="45">
      <ns0:c r="A34" s="14" t="inlineStr">
        <ns0:is>
          <ns0:t>Decision Note — câu 3: mô hình này lỗ trong tình huống nào?</ns0:t>
        </ns0:is>
      </ns0:c>
      <ns0:c r="B34" s="46" t="inlineStr">
        <ns0:is>
          <ns0:t>Lỗ khi refresh vô hạn hoặc nhà cung cấp chịu sửa mọi ca; quota dataset, kỳ và opt-in overage.</ns0:t>
        </ns0:is>
      </ns0:c>
    </ns0:row>
    <ns0:row r="35" ht="15.75" customHeight="1" s="45"/>
    <ns0:row r="36" ht="15.75" customHeight="1" s="45"/>
    <ns0:row r="37" ht="15.75" customHeight="1" s="45"/>
    <ns0:row r="38" ht="15.75" customHeight="1" s="45"/>
    <ns0:row r="39" ht="15.75" customHeight="1" s="45"/>
    <ns0:row r="40" ht="15.75" customHeight="1" s="45"/>
    <ns0:row r="41" ht="15.75" customHeight="1" s="45"/>
    <ns0:row r="42" ht="15.75" customHeight="1" s="45"/>
    <ns0:row r="43" ht="15.75" customHeight="1" s="45"/>
    <ns0:row r="44" ht="15.75" customHeight="1" s="45"/>
    <ns0:row r="45" ht="15.75" customHeight="1" s="45"/>
    <ns0:row r="46" ht="15.75" customHeight="1" s="45"/>
    <ns0:row r="47" ht="15.75" customHeight="1" s="45"/>
    <ns0:row r="48" ht="15.75" customHeight="1" s="45"/>
    <ns0:row r="49" ht="15.75" customHeight="1" s="45"/>
    <ns0:row r="50" ht="15.75" customHeight="1" s="45"/>
    <ns0:row r="51" ht="15.75" customHeight="1" s="45"/>
    <ns0:row r="52" ht="15.75" customHeight="1" s="45"/>
    <ns0:row r="53" ht="15.75" customHeight="1" s="45"/>
    <ns0:row r="54" ht="15.75" customHeight="1" s="45"/>
    <ns0:row r="55" ht="15.75" customHeight="1" s="45"/>
    <ns0:row r="56" ht="15.75" customHeight="1" s="45"/>
    <ns0:row r="57" ht="15.75" customHeight="1" s="45"/>
    <ns0:row r="58" ht="15.75" customHeight="1" s="45"/>
    <ns0:row r="59" ht="15.75" customHeight="1" s="45"/>
    <ns0:row r="60" ht="15.75" customHeight="1" s="45"/>
    <ns0:row r="61" ht="15.75" customHeight="1" s="45"/>
    <ns0:row r="62" ht="15.75" customHeight="1" s="45"/>
    <ns0:row r="63" ht="15.75" customHeight="1" s="45"/>
    <ns0:row r="64" ht="15.75" customHeight="1" s="45"/>
    <ns0:row r="65" ht="15.75" customHeight="1" s="45"/>
    <ns0:row r="66" ht="15.75" customHeight="1" s="45"/>
    <ns0:row r="67" ht="15.75" customHeight="1" s="45"/>
    <ns0:row r="68" ht="15.75" customHeight="1" s="45"/>
    <ns0:row r="69" ht="15.75" customHeight="1" s="45"/>
    <ns0:row r="70" ht="15.75" customHeight="1" s="45"/>
    <ns0:row r="71" ht="15.75" customHeight="1" s="45"/>
    <ns0:row r="72" ht="15.75" customHeight="1" s="45"/>
    <ns0:row r="73" ht="15.75" customHeight="1" s="45"/>
    <ns0:row r="74" ht="15.75" customHeight="1" s="45"/>
    <ns0:row r="75" ht="15.75" customHeight="1" s="45"/>
    <ns0:row r="76" ht="15.75" customHeight="1" s="45"/>
    <ns0:row r="77" ht="15.75" customHeight="1" s="45"/>
    <ns0:row r="78" ht="15.75" customHeight="1" s="45"/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pageMargins left="0.75" right="0.75" top="1" bottom="1" header="0" footer="0"/>
  <ns0:pageSetup orientation="portrait" paperSize="9"/>
</ns0: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H42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46" customWidth="1" style="45" min="1" max="1"/>
    <ns0:col width="16" customWidth="1" style="45" min="2" max="3"/>
    <ns0:col width="54" customWidth="1" style="45" min="4" max="4"/>
    <ns0:col width="15" customWidth="1" style="45" min="5" max="8"/>
    <ns0:col width="8.710000000000001" customWidth="1" style="45" min="9" max="26"/>
  </ns0:cols>
  <ns0:sheetData>
    <ns0:row r="1" ht="24" customHeight="1" s="45">
      <ns0:c r="A1" s="1" t="inlineStr">
        <ns0:is>
          <ns0:t>TAB 4 — CHANNEL FIT &amp; AFFORDABILITY TEST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Trạm 4. Chọn ĐÚNG 1 kênh cho 90 ngày đầu — và chứng minh bằng số.</ns0:t>
        </ns0:is>
      </ns0:c>
    </ns0:row>
    <ns0:row r="4">
      <ns0:c r="A4" s="7" t="inlineStr">
        <ns0:is>
          <ns0:t>A. NGÂN SÁCH CAC — bạn nuôi nổi kênh nào?</ns0:t>
        </ns0:is>
      </ns0:c>
      <ns0:c r="B4" s="10" t="n"/>
      <ns0:c r="C4" s="10" t="n"/>
      <ns0:c r="D4" s="10" t="n"/>
      <ns0:c r="E4" s="10" t="n"/>
      <ns0:c r="F4" s="10" t="n"/>
      <ns0:c r="G4" s="10" t="n"/>
      <ns0:c r="H4" s="10" t="n"/>
    </ns0:row>
    <ns0:row r="5">
      <ns0:c r="A5" s="14" t="inlineStr">
        <ns0:is>
          <ns0:t>ARPU / tháng ($)</ns0:t>
        </ns0:is>
      </ns0:c>
      <ns0:c r="B5" s="53" t="n">
        <ns0:v>219</ns0:v>
      </ns0:c>
    </ns0:row>
    <ns0:row r="6">
      <ns0:c r="A6" s="14" t="inlineStr">
        <ns0:is>
          <ns0:t>Gross Margin (từ tab 2_Pricing)</ns0:t>
        </ns0:is>
      </ns0:c>
      <ns0:c r="B6" s="34">
        <ns0:f>'2_Pricing'!B21</ns0:f>
        <ns0:v>0.7475904</ns0:v>
      </ns0:c>
    </ns0:row>
    <ns0:row r="7" ht="32" customHeight="1" s="45">
      <ns0:c r="A7" s="14" t="inlineStr">
        <ns0:is>
          <ns0:t>Phân khúc (SMB / Mid / Enterprise)</ns0:t>
        </ns0:is>
      </ns0:c>
      <ns0:c r="B7" s="47" t="inlineStr">
        <ns0:is>
          <ns0:t>SMB</ns0:t>
        </ns0:is>
      </ns0:c>
    </ns0:row>
    <ns0:row r="8">
      <ns0:c r="A8" s="14" t="inlineStr">
        <ns0:is>
          <ns0:t>→ CAC payback cho phép (tháng)</ns0:t>
        </ns0:is>
      </ns0:c>
      <ns0:c r="B8" s="19">
        <ns0:f>IF(B7="SMB",12,IF(B7="Mid",18,24))</ns0:f>
        <ns0:v>12</ns0:v>
      </ns0:c>
      <ns0:c r="C8" s="17" t="inlineStr">
        <ns0:is>
          <ns0:t>tháng</ns0:t>
        </ns0:is>
      </ns0:c>
      <ns0:c r="D8" s="17" t="inlineStr">
        <ns0:is>
          <ns0:t>Bessemer, Scaling to $100M (2024)</ns0:t>
        </ns0:is>
      </ns0:c>
    </ns0:row>
    <ns0:row r="9">
      <ns0:c r="A9" s="12" t="inlineStr">
        <ns0:is>
          <ns0:t>★ NGÂN SÁCH CAC / khách</ns0:t>
        </ns0:is>
      </ns0:c>
      <ns0:c r="B9" s="35">
        <ns0:f>B5*B6*B8</ns0:f>
        <ns0:v>1964.6675712</ns0:v>
      </ns0:c>
      <ns0:c r="D9" s="17" t="inlineStr">
        <ns0:is>
          <ns0:t>ARPU × GM × số tháng payback</ns0:t>
        </ns0:is>
      </ns0:c>
    </ns0:row>
    <ns0:row r="10">
      <ns0:c r="A10" s="14" t="inlineStr">
        <ns0:is>
          <ns0:t>→ ACV (giá trị hợp đồng / năm)</ns0:t>
        </ns0:is>
      </ns0:c>
      <ns0:c r="B10" s="37">
        <ns0:f>B5*12</ns0:f>
        <ns0:v>2628</ns0:v>
      </ns0:c>
    </ns0:row>
    <ns0:row r="12">
      <ns0:c r="A12" s="7" t="inlineStr">
        <ns0:is>
          <ns0:t>B. SALES VIABILITY — một AE phải chốt bao nhiêu deal?</ns0:t>
        </ns0:is>
      </ns0:c>
      <ns0:c r="B12" s="10" t="n"/>
      <ns0:c r="C12" s="10" t="n"/>
      <ns0:c r="D12" s="10" t="n"/>
      <ns0:c r="E12" s="10" t="n"/>
      <ns0:c r="F12" s="10" t="n"/>
      <ns0:c r="G12" s="10" t="n"/>
      <ns0:c r="H12" s="10" t="n"/>
    </ns0:row>
    <ns0:row r="13">
      <ns0:c r="A13" s="14" t="inlineStr">
        <ns0:is>
          <ns0:t>Quota / AE / năm ($)</ns0:t>
        </ns0:is>
      </ns0:c>
      <ns0:c r="B13" s="53" t="n">
        <ns0:v>120000</ns0:v>
      </ns0:c>
      <ns0:c r="D13" s="17" t="inlineStr">
        <ns0:is>
          <ns0:t>Giả định gốc của Tunguz (2016) — thay bằng số thị trường bạn</ns0:t>
        </ns0:is>
      </ns0:c>
    </ns0:row>
    <ns0:row r="14">
      <ns0:c r="A14" s="14" t="inlineStr">
        <ns0:is>
          <ns0:t>Số ngày làm việc / năm</ns0:t>
        </ns0:is>
      </ns0:c>
      <ns0:c r="B14" s="48" t="n">
        <ns0:v>250</ns0:v>
      </ns0:c>
      <ns0:c r="C14" s="17" t="inlineStr">
        <ns0:is>
          <ns0:t>ngày</ns0:t>
        </ns0:is>
      </ns0:c>
    </ns0:row>
    <ns0:row r="15">
      <ns0:c r="A15" s="14" t="inlineStr">
        <ns0:is>
          <ns0:t>→ Số deal / AE / năm</ns0:t>
        </ns0:is>
      </ns0:c>
      <ns0:c r="B15" s="19">
        <ns0:f>IF(B10=0,0,B13/B10)</ns0:f>
        <ns0:v>45.662100456621</ns0:v>
      </ns0:c>
    </ns0:row>
    <ns0:row r="16">
      <ns0:c r="A16" s="12" t="inlineStr">
        <ns0:is>
          <ns0:t>★ Số deal / AE / NGÀY</ns0:t>
        </ns0:is>
      </ns0:c>
      <ns0:c r="B16" s="38">
        <ns0:f>IF(B14=0,0,B15/B14)</ns0:f>
        <ns0:v>0.182648401826484</ns0:v>
      </ns0:c>
      <ns0:c r="C16" s="17" t="inlineStr">
        <ns0:is>
          <ns0:t>deal/ngày</ns0:t>
        </ns0:is>
      </ns0:c>
    </ns0:row>
    <ns0:row r="17">
      <ns0:c r="A17" s="14" t="inlineStr">
        <ns0:is>
          <ns0:t>→ Kết luận Sales-Led</ns0:t>
        </ns0:is>
      </ns0:c>
      <ns0:c r="B17" s="8" t="str">
        <ns0:f>IF(B16&lt;=1,"KHẢ THI về mặt số học","BẤT KHẢ THI — ACV quá thấp để nuôi sales rep")</ns0:f>
        <ns0:v>KHẢ THI về mặt số học</ns0:v>
      </ns0:c>
    </ns0:row>
    <ns0:row r="19">
      <ns0:c r="A19" s="7" t="inlineStr">
        <ns0:is>
          <ns0:t>C. ĐỐI CHIẾU CAC THỰC TẾ CỦA MOTION CÓ SALES</ns0:t>
        </ns0:is>
      </ns0:c>
      <ns0:c r="B19" s="10" t="n"/>
      <ns0:c r="C19" s="10" t="n"/>
      <ns0:c r="D19" s="10" t="n"/>
      <ns0:c r="E19" s="10" t="n"/>
      <ns0:c r="F19" s="10" t="n"/>
      <ns0:c r="G19" s="10" t="n"/>
      <ns0:c r="H19" s="10" t="n"/>
    </ns0:row>
    <ns0:row r="20">
      <ns0:c r="A20" s="14" t="inlineStr">
        <ns0:is>
          <ns0:t>Cost per opportunity ($)</ns0:t>
        </ns0:is>
      </ns0:c>
      <ns0:c r="B20" s="53" t="n">
        <ns0:v>1200</ns0:v>
      </ns0:c>
      <ns0:c r="D20" s="17" t="inlineStr">
        <ns0:is>
          <ns0:t>ICONIQ 2026 theo phân khúc: $6.300 · $8.000 · $11.200</ns0:t>
        </ns0:is>
      </ns0:c>
    </ns0:row>
    <ns0:row r="21" ht="15.75" customHeight="1" s="45">
      <ns0:c r="A21" s="14" t="inlineStr">
        <ns0:is>
          <ns0:t>Win rate</ns0:t>
        </ns0:is>
      </ns0:c>
      <ns0:c r="B21" s="49" t="n">
        <ns0:v>0.25</ns0:v>
      </ns0:c>
    </ns0:row>
    <ns0:row r="22" ht="15.75" customHeight="1" s="45">
      <ns0:c r="A22" s="14" t="inlineStr">
        <ns0:is>
          <ns0:t>→ CAC thực tế ước tính / khách</ns0:t>
        </ns0:is>
      </ns0:c>
      <ns0:c r="B22" s="37">
        <ns0:f>IF(B21=0,0,B20/B21)</ns0:f>
        <ns0:v>4800</ns0:v>
      </ns0:c>
    </ns0:row>
    <ns0:row r="23" ht="15.75" customHeight="1" s="45">
      <ns0:c r="A23" s="12" t="inlineStr">
        <ns0:is>
          <ns0:t>★ Lệch bao nhiêu lần so với ngân sách CAC?</ns0:t>
        </ns0:is>
      </ns0:c>
      <ns0:c r="B23" s="39">
        <ns0:f>IF(B9=0,0,B22/B9)</ns0:f>
        <ns0:v>2.44316141334191</ns0:v>
      </ns0:c>
      <ns0:c r="D23" s="17" t="inlineStr">
        <ns0:is>
          <ns0:t>Đây là bằng chứng chọn kênh của bạn</ns0:t>
        </ns0:is>
      </ns0:c>
    </ns0:row>
    <ns0:row r="24" ht="15.75" customHeight="1" s="45">
      <ns0:c r="A24" s="14" t="inlineStr">
        <ns0:is>
          <ns0:t>→ Kết luận</ns0:t>
        </ns0:is>
      </ns0:c>
      <ns0:c r="B24" s="8" t="str">
        <ns0:f>IF(B23&lt;=1,"Motion có sales KHẢ THI",IF(B23&lt;=3,"Căng — cần tăng giá hoặc giảm chi phí bán hàng","KHÔNG KHẢ THI — đi PLG hoặc Partner-Led"))</ns0:f>
        <ns0:v>Căng — cần tăng giá hoặc giảm chi phí bán hàng</ns0:v>
      </ns0:c>
    </ns0:row>
    <ns0:row r="25" ht="15.75" customHeight="1" s="45"/>
    <ns0:row r="26" ht="15.75" customHeight="1" s="45">
      <ns0:c r="A26" s="7" t="inlineStr">
        <ns0:is>
          <ns0:t>D. CHẤM ĐIỂM 3 KÊNH (1 = rất kém, 5 = rất tốt)</ns0:t>
        </ns0:is>
      </ns0:c>
      <ns0:c r="B26" s="10" t="n"/>
      <ns0:c r="C26" s="10" t="n"/>
      <ns0:c r="D26" s="10" t="n"/>
      <ns0:c r="E26" s="10" t="n"/>
      <ns0:c r="F26" s="10" t="n"/>
      <ns0:c r="G26" s="10" t="n"/>
      <ns0:c r="H26" s="10" t="n"/>
    </ns0:row>
    <ns0:row r="27" ht="15.75" customHeight="1" s="45">
      <ns0:c r="A27" s="27" t="inlineStr">
        <ns0:is>
          <ns0:t>Tiêu chí</ns0:t>
        </ns0:is>
      </ns0:c>
      <ns0:c r="B27" s="27" t="inlineStr">
        <ns0:is>
          <ns0:t>PLG</ns0:t>
        </ns0:is>
      </ns0:c>
      <ns0:c r="C27" s="27" t="inlineStr">
        <ns0:is>
          <ns0:t>Sales-Led</ns0:t>
        </ns0:is>
      </ns0:c>
      <ns0:c r="D27" s="27" t="inlineStr">
        <ns0:is>
          <ns0:t>Partner-Led</ns0:t>
        </ns0:is>
      </ns0:c>
    </ns0:row>
    <ns0:row r="28" ht="15.75" customHeight="1" s="45">
      <ns0:c r="A28" s="14" t="inlineStr">
        <ns0:is>
          <ns0:t>1. Ngân sách CAC của tôi nuôi nổi kênh này</ns0:t>
        </ns0:is>
      </ns0:c>
      <ns0:c r="B28" s="47" t="n">
        <ns0:v>4</ns0:v>
      </ns0:c>
      <ns0:c r="C28" s="47" t="n">
        <ns0:v>1</ns0:v>
      </ns0:c>
      <ns0:c r="D28" s="47" t="n">
        <ns0:v>2</ns0:v>
      </ns0:c>
    </ns0:row>
    <ns0:row r="29" ht="15.75" customHeight="1" s="45">
      <ns0:c r="A29" s="14" t="inlineStr">
        <ns0:is>
          <ns0:t>2. Khách hàng mục tiêu thực sự mua theo cách này</ns0:t>
        </ns0:is>
      </ns0:c>
      <ns0:c r="B29" s="47" t="n">
        <ns0:v>3</ns0:v>
      </ns0:c>
      <ns0:c r="C29" s="47" t="n">
        <ns0:v>4</ns0:v>
      </ns0:c>
      <ns0:c r="D29" s="47" t="n">
        <ns0:v>2</ns0:v>
      </ns0:c>
    </ns0:row>
    <ns0:row r="30" ht="15.75" customHeight="1" s="45">
      <ns0:c r="A30" s="14" t="inlineStr">
        <ns0:is>
          <ns0:t>3. Đội hiện tại có năng lực chạy kênh này ngay</ns0:t>
        </ns0:is>
      </ns0:c>
      <ns0:c r="B30" s="47" t="n">
        <ns0:v>3</ns0:v>
      </ns0:c>
      <ns0:c r="C30" s="47" t="n">
        <ns0:v>2</ns0:v>
      </ns0:c>
      <ns0:c r="D30" s="47" t="n">
        <ns0:v>1</ns0:v>
      </ns0:c>
    </ns0:row>
    <ns0:row r="31" ht="15.75" customHeight="1" s="45">
      <ns0:c r="A31" s="14" t="inlineStr">
        <ns0:is>
          <ns0:t>4. Tôi tiếp cận được điểm nhúng / partner trong 30 ngày</ns0:t>
        </ns0:is>
      </ns0:c>
      <ns0:c r="B31" s="47" t="n">
        <ns0:v>3</ns0:v>
      </ns0:c>
      <ns0:c r="C31" s="47" t="n">
        <ns0:v>4</ns0:v>
      </ns0:c>
      <ns0:c r="D31" s="47" t="n">
        <ns0:v>1</ns0:v>
      </ns0:c>
    </ns0:row>
    <ns0:row r="32" ht="15.75" customHeight="1" s="45">
      <ns0:c r="A32" s="14" t="inlineStr">
        <ns0:is>
          <ns0:t>5. Kênh này đưa tôi đến ĐÚNG Pain Moment</ns0:t>
        </ns0:is>
      </ns0:c>
      <ns0:c r="B32" s="47" t="n">
        <ns0:v>5</ns0:v>
      </ns0:c>
      <ns0:c r="C32" s="47" t="n">
        <ns0:v>3</ns0:v>
      </ns0:c>
      <ns0:c r="D32" s="47" t="n">
        <ns0:v>3</ns0:v>
      </ns0:c>
    </ns0:row>
    <ns0:row r="33" ht="15.75" customHeight="1" s="45">
      <ns0:c r="A33" s="14" t="inlineStr">
        <ns0:is>
          <ns0:t>6. Tôi đo được hiệu quả trong vòng 90 ngày</ns0:t>
        </ns0:is>
      </ns0:c>
      <ns0:c r="B33" s="47" t="n">
        <ns0:v>4</ns0:v>
      </ns0:c>
      <ns0:c r="C33" s="47" t="n">
        <ns0:v>3</ns0:v>
      </ns0:c>
      <ns0:c r="D33" s="47" t="n">
        <ns0:v>2</ns0:v>
      </ns0:c>
    </ns0:row>
    <ns0:row r="34" ht="15.75" customHeight="1" s="45">
      <ns0:c r="A34" s="12" t="inlineStr">
        <ns0:is>
          <ns0:t>→ TỔNG ĐIỂM</ns0:t>
        </ns0:is>
      </ns0:c>
      <ns0:c r="B34" s="26">
        <ns0:f>SUM(B28:B33)</ns0:f>
        <ns0:v>22</ns0:v>
      </ns0:c>
      <ns0:c r="C34" s="26">
        <ns0:f>SUM(C28:C33)</ns0:f>
        <ns0:v>17</ns0:v>
      </ns0:c>
      <ns0:c r="D34" s="26">
        <ns0:f>SUM(D28:D33)</ns0:f>
        <ns0:v>11</ns0:v>
      </ns0:c>
    </ns0:row>
    <ns0:row r="35" ht="15.75" customHeight="1" s="45">
      <ns0:c r="A35" s="12" t="inlineStr">
        <ns0:is>
          <ns0:t>→ Kênh điểm cao nhất</ns0:t>
        </ns0:is>
      </ns0:c>
      <ns0:c r="B35" s="26" t="str">
        <ns0:f>IF(AND(B34&gt;=C34,B34&gt;=D34),"PLG",IF(C34&gt;=D34,"Sales-Led","Partner-Led"))</ns0:f>
        <ns0:v>PLG</ns0:v>
      </ns0:c>
    </ns0:row>
    <ns0:row r="36" ht="15.75" customHeight="1" s="45"/>
    <ns0:row r="37" ht="15.75" customHeight="1" s="45">
      <ns0:c r="A37" s="7" t="inlineStr">
        <ns0:is>
          <ns0:t>E. CHỐT KÊNH</ns0:t>
        </ns0:is>
      </ns0:c>
      <ns0:c r="B37" s="10" t="n"/>
      <ns0:c r="C37" s="10" t="n"/>
      <ns0:c r="D37" s="10" t="n"/>
      <ns0:c r="E37" s="10" t="n"/>
      <ns0:c r="F37" s="10" t="n"/>
      <ns0:c r="G37" s="10" t="n"/>
      <ns0:c r="H37" s="10" t="n"/>
    </ns0:row>
    <ns0:row r="38" ht="32" customHeight="1" s="45">
      <ns0:c r="A38" s="14" t="inlineStr">
        <ns0:is>
          <ns0:t>★ Kênh tôi chọn cho 90 ngày đầu</ns0:t>
        </ns0:is>
      </ns0:c>
      <ns0:c r="B38" s="46" t="inlineStr">
        <ns0:is>
          <ns0:t>PLG</ns0:t>
        </ns0:is>
      </ns0:c>
      <ns0:c r="D38" s="17" t="inlineStr">
        <ns0:is>
          <ns0:t>ĐÚNG 1 kênh. Chọn 2 kênh trở lên bị trừ điểm.</ns0:t>
        </ns0:is>
      </ns0:c>
    </ns0:row>
    <ns0:row r="39" ht="46.25" customHeight="1" s="45">
      <ns0:c r="A39" s="14" t="inlineStr">
        <ns0:is>
          <ns0:t>Nếu Partner-Led: TÊN CÔNG TY partner</ns0:t>
        </ns0:is>
      </ns0:c>
      <ns0:c r="B39" s="46" t="inlineStr">
        <ns0:is>
          <ns0:t>Không áp dụng: GitHub, Inc. là bề mặt phân phối, chưa có partner hợp đồng.</ns0:t>
        </ns0:is>
      </ns0:c>
      <ns0:c r="D39" s="17" t="inlineStr">
        <ns0:is>
          <ns0:t>'Các nền tảng trong ngành' = chưa có kênh</ns0:t>
        </ns0:is>
      </ns0:c>
    </ns0:row>
    <ns0:row r="40" ht="32" customHeight="1" s="45">
      <ns0:c r="A40" s="14" t="inlineStr">
        <ns0:is>
          <ns0:t>Đã nói chuyện với họ chưa? (Rồi / Chưa)</ns0:t>
        </ns0:is>
      </ns0:c>
      <ns0:c r="B40" s="46" t="inlineStr">
        <ns0:is>
          <ns0:t>Chưa; không chọn Partner-Led</ns0:t>
        </ns0:is>
      </ns0:c>
    </ns0:row>
    <ns0:row r="41" ht="51.25" customHeight="1" s="45">
      <ns0:c r="A41" s="14" t="inlineStr">
        <ns0:is>
          <ns0:t>Bạn mang lại giá trị gì cho partner?</ns0:t>
        </ns0:is>
      </ns0:c>
      <ns0:c r="B41" s="46" t="inlineStr">
        <ns0:is>
          <ns0:t>Không áp dụng. Khách tự cài GitHub App; không giả quan hệ partner hoặc commission.</ns0:t>
        </ns0:is>
      </ns0:c>
    </ns0:row>
    <ns0:row r="42" ht="60.625" customHeight="1" s="45">
      <ns0:c r="A42" s="14" t="inlineStr">
        <ns0:is>
          <ns0:t>Nếu rơi vào vùng không khả thi — lối thoát nào?</ns0:t>
        </ns0:is>
      </ns0:c>
      <ns0:c r="B42" s="46" t="inlineStr">
        <ns0:is>
          <ns0:t>Giữ PLG tự phục vụ; thử 3 pilot nhỏ trong 30 ngày. Không tuyển AE khi CAC rep $4.800 vượt budget.</ns0:t>
        </ns0:is>
      </ns0:c>
      <ns0:c r="D42" s="17" t="inlineStr">
        <ns0:is>
          <ns0:t>Giảm giá để tự phục vụ / tăng giá + service / Partner-Led</ns0:t>
        </ns0:is>
      </ns0:c>
    </ns0:row>
    <ns0:row r="43" ht="15.75" customHeight="1" s="45"/>
    <ns0:row r="44" ht="15.75" customHeight="1" s="45"/>
    <ns0:row r="45" ht="15.75" customHeight="1" s="45"/>
    <ns0:row r="46" ht="15.75" customHeight="1" s="45"/>
    <ns0:row r="47" ht="15.75" customHeight="1" s="45"/>
    <ns0:row r="48" ht="15.75" customHeight="1" s="45"/>
    <ns0:row r="49" ht="15.75" customHeight="1" s="45"/>
    <ns0:row r="50" ht="15.75" customHeight="1" s="45"/>
    <ns0:row r="51" ht="15.75" customHeight="1" s="45"/>
    <ns0:row r="52" ht="15.75" customHeight="1" s="45"/>
    <ns0:row r="53" ht="15.75" customHeight="1" s="45"/>
    <ns0:row r="54" ht="15.75" customHeight="1" s="45"/>
    <ns0:row r="55" ht="15.75" customHeight="1" s="45"/>
    <ns0:row r="56" ht="15.75" customHeight="1" s="45"/>
    <ns0:row r="57" ht="15.75" customHeight="1" s="45"/>
    <ns0:row r="58" ht="15.75" customHeight="1" s="45"/>
    <ns0:row r="59" ht="15.75" customHeight="1" s="45"/>
    <ns0:row r="60" ht="15.75" customHeight="1" s="45"/>
    <ns0:row r="61" ht="15.75" customHeight="1" s="45"/>
    <ns0:row r="62" ht="15.75" customHeight="1" s="45"/>
    <ns0:row r="63" ht="15.75" customHeight="1" s="45"/>
    <ns0:row r="64" ht="15.75" customHeight="1" s="45"/>
    <ns0:row r="65" ht="15.75" customHeight="1" s="45"/>
    <ns0:row r="66" ht="15.75" customHeight="1" s="45"/>
    <ns0:row r="67" ht="15.75" customHeight="1" s="45"/>
    <ns0:row r="68" ht="15.75" customHeight="1" s="45"/>
    <ns0:row r="69" ht="15.75" customHeight="1" s="45"/>
    <ns0:row r="70" ht="15.75" customHeight="1" s="45"/>
    <ns0:row r="71" ht="15.75" customHeight="1" s="45"/>
    <ns0:row r="72" ht="15.75" customHeight="1" s="45"/>
    <ns0:row r="73" ht="15.75" customHeight="1" s="45"/>
    <ns0:row r="74" ht="15.75" customHeight="1" s="45"/>
    <ns0:row r="75" ht="15.75" customHeight="1" s="45"/>
    <ns0:row r="76" ht="15.75" customHeight="1" s="45"/>
    <ns0:row r="77" ht="15.75" customHeight="1" s="45"/>
    <ns0:row r="78" ht="15.75" customHeight="1" s="45"/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dataValidations count="1">
    <ns0:dataValidation sqref="B7" showDropDown="0" showInputMessage="0" showErrorMessage="0" allowBlank="1" type="list">
      <ns0:formula1>"SMB,Mid,Enterprise"</ns0:formula1>
    </ns0:dataValidation>
  </ns0:dataValidations>
  <ns0:pageMargins left="0.75" right="0.75" top="1" bottom="1" header="0" footer="0"/>
  <ns0:pageSetup orientation="portrait" paperSize="9"/>
  <ns0:legacyDrawing ns1:id="anysvml"/>
</ns0:worksheet>
</file>

<file path=xl/worksheets/sheet6.xml><?xml version="1.0" encoding="utf-8"?>
<ns0:worksheet xmlns:ns0="http://schemas.openxmlformats.org/spreadsheetml/2006/main">
  <ns0:sheetPr>
    <ns0:outlinePr summaryBelow="1" summaryRight="1"/>
    <ns0:pageSetUpPr/>
  </ns0:sheetPr>
  <ns0:dimension ref="A1:H32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30" customWidth="1" style="45" min="1" max="1"/>
    <ns0:col width="34" customWidth="1" style="45" min="2" max="4"/>
    <ns0:col width="15" customWidth="1" style="45" min="5" max="8"/>
    <ns0:col width="8.710000000000001" customWidth="1" style="45" min="9" max="26"/>
  </ns0:cols>
  <ns0:sheetData>
    <ns0:row r="1" ht="24" customHeight="1" s="45">
      <ns0:c r="A1" s="1" t="inlineStr">
        <ns0:is>
          <ns0:t>TAB 5 — PAIN MOMENT · 90-DAY PLAN · EVIDENCE PACK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Trạm 5 và Trạm 6.</ns0:t>
        </ns0:is>
      </ns0:c>
    </ns0:row>
    <ns0:row r="4">
      <ns0:c r="A4" s="7" t="inlineStr">
        <ns0:is>
          <ns0:t>A. PAIN MOMENT — phải đủ 3 phần</ns0:t>
        </ns0:is>
      </ns0:c>
      <ns0:c r="B4" s="10" t="n"/>
      <ns0:c r="C4" s="10" t="n"/>
      <ns0:c r="D4" s="10" t="n"/>
      <ns0:c r="E4" s="10" t="n"/>
      <ns0:c r="F4" s="10" t="n"/>
      <ns0:c r="G4" s="10" t="n"/>
      <ns0:c r="H4" s="10" t="n"/>
    </ns0:row>
    <ns0:row r="5" ht="40" customHeight="1" s="45">
      <ns0:c r="A5" s="14" t="inlineStr">
        <ns0:is>
          <ns0:t>MẤY GIỜ khách đau nhất?</ns0:t>
        </ns0:is>
      </ns0:c>
      <ns0:c r="B5" s="46" t="inlineStr">
        <ns0:is>
          <ns0:t>16:30 thứ Sáu cuối Sprint, trước giao ban CTO/CEO 09:00 thứ Hai.</ns0:t>
        </ns0:is>
      </ns0:c>
    </ns0:row>
    <ns0:row r="6" ht="59.375" customHeight="1" s="45">
      <ns0:c r="A6" s="14" t="inlineStr">
        <ns0:is>
          <ns0:t>Lúc đó họ ĐANG LÀM GÌ?</ns0:t>
        </ns0:is>
      </ns0:c>
      <ns0:c r="B6" s="46" t="inlineStr">
        <ns0:is>
          <ns0:t>CTO/Tech Lead đang đóng Sprint, ghép Jira delivery + GitHub PR và AI-cost ledger để giải trình.</ns0:t>
        </ns0:is>
      </ns0:c>
    </ns0:row>
    <ns0:row r="7" ht="49.375" customHeight="1" s="45">
      <ns0:c r="A7" s="14" t="inlineStr">
        <ns0:is>
          <ns0:t>Họ đang DÙNG APP / KÊNH NÀO?</ns0:t>
        </ns0:is>
      </ns0:c>
      <ns0:c r="B7" s="46" t="inlineStr">
        <ns0:is>
          <ns0:t>GitHub org/repo và Jira Sprint; nhóm nhận nhắc trong Slack #engineering-review.</ns0:t>
        </ns0:is>
      </ns0:c>
    </ns0:row>
    <ns0:row r="8" ht="100" customHeight="1" s="45">
      <ns0:c r="A8" s="14" t="inlineStr">
        <ns0:is>
          <ns0:t>→ Điểm nhúng cụ thể của bạn</ns0:t>
        </ns0:is>
      </ns0:c>
      <ns0:c r="B8" s="46" t="inlineStr">
        <ns0:is>
          <ns0:t>GitHub App read-only metadata + Jira Sprint webhook; gửi Slack report card/link preview; CTO review và Publish trong workflow đã dùng. Chưa triển khai trong lab.</ns0:t>
        </ns0:is>
      </ns0:c>
      <ns0:c r="D8" s="17" t="inlineStr">
        <ns0:is>
          <ns0:t>Một bề mặt tích hợp có tên, không phải 'website của chúng tôi'</ns0:t>
        </ns0:is>
      </ns0:c>
    </ns0:row>
    <ns0:row r="10">
      <ns0:c r="A10" s="7" t="inlineStr">
        <ns0:is>
          <ns0:t>B. 90-DAY PLAN</ns0:t>
        </ns0:is>
      </ns0:c>
      <ns0:c r="B10" s="10" t="n"/>
      <ns0:c r="C10" s="10" t="n"/>
      <ns0:c r="D10" s="10" t="n"/>
      <ns0:c r="E10" s="10" t="n"/>
      <ns0:c r="F10" s="10" t="n"/>
      <ns0:c r="G10" s="10" t="n"/>
      <ns0:c r="H10" s="10" t="n"/>
    </ns0:row>
    <ns0:row r="11">
      <ns0:c r="A11" s="27" t="n"/>
      <ns0:c r="B11" s="27" t="inlineStr">
        <ns0:is>
          <ns0:t>THÁNG 1 — Học</ns0:t>
        </ns0:is>
      </ns0:c>
      <ns0:c r="C11" s="27" t="inlineStr">
        <ns0:is>
          <ns0:t>THÁNG 2–3 — Đòn bẩy</ns0:t>
        </ns0:is>
      </ns0:c>
      <ns0:c r="D11" s="27" t="inlineStr">
        <ns0:is>
          <ns0:t>THÁNG 4+ — Mở rộng</ns0:t>
        </ns0:is>
      </ns0:c>
    </ns0:row>
    <ns0:row r="12" ht="33.75" customHeight="1" s="45">
      <ns0:c r="A12" s="14" t="inlineStr">
        <ns0:is>
          <ns0:t>Kênh sử dụng</ns0:t>
        </ns0:is>
      </ns0:c>
      <ns0:c r="B12" s="46" t="inlineStr">
        <ns0:is>
          <ns0:t>PLG: install link GitHub App, shadow pilot nhỏ</ns0:t>
        </ns0:is>
      </ns0:c>
      <ns0:c r="C12" s="46" t="inlineStr">
        <ns0:is>
          <ns0:t>PLG: GitHub App/Marketplace listing nếu được duyệt</ns0:t>
        </ns0:is>
      </ns0:c>
      <ns0:c r="D12" s="46" t="inlineStr">
        <ns0:is>
          <ns0:t>PLG, giữ nguyên một kênh; chưa mở motion sales/partner</ns0:t>
        </ns0:is>
      </ns0:c>
    </ns0:row>
    <ns0:row r="13" ht="68.75" customHeight="1" s="45">
      <ns0:c r="A13" s="14" t="inlineStr">
        <ns0:is>
          <ns0:t>Mục tiêu số khách</ns0:t>
        </ns0:is>
      </ns0:c>
      <ns0:c r="B13" s="46" t="inlineStr">
        <ns0:is>
          <ns0:t>3 pilot orgs (chưa tuyển); không tính là paid</ns0:t>
        </ns0:is>
      </ns0:c>
      <ns0:c r="C13" s="46" t="inlineStr">
        <ns0:is>
          <ns0:t>60 qualified installs; 12 activation; 3 paid; 10 active workspaces mục tiêu, không đồng nghĩa 10 paid</ns0:t>
        </ns0:is>
      </ns0:c>
      <ns0:c r="D13" s="46" t="inlineStr">
        <ns0:is>
          <ns0:t>Chưa cam kết số khách mới; chỉ scale sau gate; đủ ≥4 paid trước giá steady-state $60 với shared floor hiện tại</ns0:t>
        </ns0:is>
      </ns0:c>
    </ns0:row>
    <ns0:row r="14" ht="48.75" customHeight="1" s="45">
      <ns0:c r="A14" s="14" t="inlineStr">
        <ns0:is>
          <ns0:t>Việc cụ thể 1</ns0:t>
        </ns0:is>
      </ns0:c>
      <ns0:c r="B14" s="46" t="inlineStr">
        <ns0:is>
          <ns0:t>Phạm Thanh Đạt phỏng vấn 5 CTO; xác minh budget owner và job.</ns0:t>
        </ns0:is>
      </ns0:c>
      <ns0:c r="C14" s="46" t="inlineStr">
        <ns0:is>
          <ns0:t>Pilot 4 tuần kết thúc 20/11; xuất report 23/11 và đo refund/dispute.</ns0:t>
        </ns0:is>
      </ns0:c>
      <ns0:c r="D14" s="46" t="inlineStr">
        <ns0:is>
          <ns0:t>Mở nhóm 51–100 dev chỉ nếu cohort hiện tại giữ ≥75% org publish tháng kế tiếp.</ns0:t>
        </ns0:is>
      </ns0:c>
    </ns0:row>
    <ns0:row r="15" ht="55.625" customHeight="1" s="45">
      <ns0:c r="A15" s="14" t="inlineStr">
        <ns0:is>
          <ns0:t>Việc cụ thể 2</ns0:t>
        </ns0:is>
      </ns0:c>
      <ns0:c r="B15" s="46" t="inlineStr">
        <ns0:is>
          <ns0:t>Kiểm tra control 15/10 và eval 22/10; chỉ dùng redacted shadow data trước gate.</ns0:t>
        </ns0:is>
      </ns0:c>
      <ns0:c r="C15" s="46" t="inlineStr">
        <ns0:is>
          <ns0:t>Ráp self-serve onboarding, security Q&amp;A và report mẫu; submit listing, không claim đã approved.</ns0:t>
        </ns0:is>
      </ns0:c>
      <ns0:c r="D15" s="46" t="inlineStr">
        <ns0:is>
          <ns0:t>So invoice, eval, giờ QA và retention; cập nhật infra/tenant và pricing trước nâng quota.</ns0:t>
        </ns0:is>
      </ns0:c>
    </ns0:row>
    <ns0:row r="16" ht="51.25" customHeight="1" s="45">
      <ns0:c r="A16" s="14" t="inlineStr">
        <ns0:is>
          <ns0:t>Việc cụ thể 3</ns0:t>
        </ns0:is>
      </ns0:c>
      <ns0:c r="B16" s="46" t="inlineStr">
        <ns0:is>
          <ns0:t>Mời 3 org tự cài sau gate; bắt đầu pilot 24/10; ghi giờ công, token, failure.</ns0:t>
        </ns0:is>
      </ns0:c>
      <ns0:c r="C16" s="46" t="inlineStr">
        <ns0:is>
          <ns0:t>Bỏ tối đa $1.200 acquisition; stop nếu CAC&gt;$400 hoặc sau 20 installs chưa 4 activation.</ns0:t>
        </ns0:is>
      </ns0:c>
      <ns0:c r="D16" s="46" t="inlineStr">
        <ns0:is>
          <ns0:t>Nếu permission/onboarding còn cần demo riêng, dừng PLG scale và ra quyết định mới.</ns0:t>
        </ns0:is>
      </ns0:c>
    </ns0:row>
    <ns0:row r="17" ht="58.75" customHeight="1" s="45">
      <ns0:c r="A17" s="14" t="inlineStr">
        <ns0:is>
          <ns0:t>KPI đo được</ns0:t>
        </ns0:is>
      </ns0:c>
      <ns0:c r="B17" s="46" t="inlineStr">
        <ns0:is>
          <ns0:t>≥1 AI-ready/report/org trong 14 ngày; 3 pilot onboard; coverage ≥80%; không lỗi critical.</ns0:t>
        </ns0:is>
      </ns0:c>
      <ns0:c r="C17" s="46" t="inlineStr">
        <ns0:is>
          <ns0:t>3 paid từ 60 installs; CAC≤$400; median activation≤14 ngày; điều kiện GM60 theo eval lower bound.</ns0:t>
        </ns0:is>
      </ns0:c>
      <ns0:c r="D17" s="46" t="inlineStr">
        <ns0:is>
          <ns0:t>GM≥60%; giá≥3×COGS tại volume thật; không lỗi critical; retention có mẫu số và khoảng tin cậy.</ns0:t>
        </ns0:is>
      </ns0:c>
    </ns0:row>
    <ns0:row r="18" ht="35.625" customHeight="1" s="45">
      <ns0:c r="A18" s="14" t="inlineStr">
        <ns0:is>
          <ns0:t>Người chịu trách nhiệm</ns0:t>
        </ns0:is>
      </ns0:c>
      <ns0:c r="B18" s="46" t="inlineStr">
        <ns0:is>
          <ns0:t>Phạm Thanh Đạt — 08/10 đến 06/11/2026</ns0:t>
        </ns0:is>
      </ns0:c>
      <ns0:c r="C18" s="46" t="inlineStr">
        <ns0:is>
          <ns0:t>Phạm Thanh Đạt — 07/11/2026 đến 05/01/2027</ns0:t>
        </ns0:is>
      </ns0:c>
      <ns0:c r="D18" s="46" t="inlineStr">
        <ns0:is>
          <ns0:t>Phạm Thanh Đạt — từ 06/01/2027; review gate trước mở rộng</ns0:t>
        </ns0:is>
      </ns0:c>
    </ns0:row>
    <ns0:row r="19">
      <ns0:c r="A19" s="17" t="inlineStr">
        <ns0:is>
          <ns0:t>Tháng 1 là giai đoạn HỌC, không phải scale. Kế hoạch 'tháng 1 lấy 200 khách ở 5 ngành' là kế hoạch chưa ai từng thử làm.</ns0:t>
        </ns0:is>
      </ns0:c>
    </ns0:row>
    <ns0:row r="21" ht="15.75" customHeight="1" s="45">
      <ns0:c r="A21" s="7" t="inlineStr">
        <ns0:is>
          <ns0:t>C. EVIDENCE PACK — 3 tài sản bán hàng</ns0:t>
        </ns0:is>
      </ns0:c>
      <ns0:c r="B21" s="10" t="n"/>
      <ns0:c r="C21" s="10" t="n"/>
      <ns0:c r="D21" s="10" t="n"/>
      <ns0:c r="E21" s="10" t="n"/>
      <ns0:c r="F21" s="10" t="n"/>
      <ns0:c r="G21" s="10" t="n"/>
      <ns0:c r="H21" s="10" t="n"/>
    </ns0:row>
    <ns0:row r="22" ht="15.75" customHeight="1" s="45">
      <ns0:c r="A22" s="27" t="inlineStr">
        <ns0:is>
          <ns0:t>Tài sản</ns0:t>
        </ns0:is>
      </ns0:c>
      <ns0:c r="B22" s="27" t="inlineStr">
        <ns0:is>
          <ns0:t>Đã có? (Rồi/Chưa)</ns0:t>
        </ns0:is>
      </ns0:c>
      <ns0:c r="C22" s="27" t="inlineStr">
        <ns0:is>
          <ns0:t>Nội dung 1 câu — hoặc việc cần làm</ns0:t>
        </ns0:is>
      </ns0:c>
      <ns0:c r="D22" s="27" t="inlineStr">
        <ns0:is>
          <ns0:t>Người phụ trách · Deadline</ns0:t>
        </ns0:is>
      </ns0:c>
    </ns0:row>
    <ns0:row r="23" ht="32" customHeight="1" s="45">
      <ns0:c r="A23" s="14" t="inlineStr">
        <ns0:is>
          <ns0:t xml:space="preserve">1. Eval Results </ns0:t>
        </ns0:is>
      </ns0:c>
      <ns0:c r="B23" s="46" t="inlineStr">
        <ns0:is>
          <ns0:t>Chưa</ns0:t>
        </ns0:is>
      </ns0:c>
      <ns0:c r="C23" s="46" t="inlineStr">
        <ns0:is>
          <ns0:t>Chưa có kết quả. Đánh giá 100 báo cáo nguồn gắn nhãn; planning75% không phải eval; đo AI-ready, lỗi critical, token/QA.</ns0:t>
        </ns0:is>
      </ns0:c>
      <ns0:c r="D23" s="46" t="inlineStr">
        <ns0:is>
          <ns0:t>Phạm Thanh Đạt · 22/10/2026</ns0:t>
        </ns0:is>
      </ns0:c>
    </ns0:row>
    <ns0:row r="24" ht="32" customHeight="1" s="45">
      <ns0:c r="A24" s="14" t="inlineStr">
        <ns0:is>
          <ns0:t xml:space="preserve">2. Risk Checklist </ns0:t>
        </ns0:is>
      </ns0:c>
      <ns0:c r="B24" s="46" t="inlineStr">
        <ns0:is>
          <ns0:t>Chưa — bản Q&amp;A nháp đã có ở CP6</ns0:t>
        </ns0:is>
      </ns0:c>
      <ns0:c r="C24" s="46" t="inlineStr">
        <ns0:is>
          <ns0:t>Procurement Q&amp;A: hallucination/AI-ROI, data training, export/exit; control và deletion proof chưa có.</ns0:t>
        </ns0:is>
      </ns0:c>
      <ns0:c r="D24" s="46" t="inlineStr">
        <ns0:is>
          <ns0:t>Phạm Thanh Đạt · 15/10/2026</ns0:t>
        </ns0:is>
      </ns0:c>
    </ns0:row>
    <ns0:row r="25" ht="32" customHeight="1" s="45">
      <ns0:c r="A25" s="14" t="inlineStr">
        <ns0:is>
          <ns0:t>3. Pilot Report</ns0:t>
        </ns0:is>
      </ns0:c>
      <ns0:c r="B25" s="46" t="inlineStr">
        <ns0:is>
          <ns0:t>Chưa</ns0:t>
        </ns0:is>
      </ns0:c>
      <ns0:c r="C25" s="46" t="inlineStr">
        <ns0:is>
          <ns0:t>3 org tự nguyện; 4 tuần từ24/10 đến20/11; report23/11; ghi số job hoàn thành, QA và giờ chuẩn bị trước/sau.</ns0:t>
        </ns0:is>
      </ns0:c>
      <ns0:c r="D25" s="46" t="inlineStr">
        <ns0:is>
          <ns0:t>Phạm Thanh Đạt · 23/11/2026</ns0:t>
        </ns0:is>
      </ns0:c>
    </ns0:row>
    <ns0:row r="26" ht="15.75" customHeight="1" s="45">
      <ns0:c r="A26" s="17" t="inlineStr">
        <ns0:is>
          <ns0:t>Ô nào CHƯA CÓ thì ghi deadline — đừng bỏ trống. Thành thật về khoảng trống được điểm cao hơn bịa nội dung.</ns0:t>
        </ns0:is>
      </ns0:c>
    </ns0:row>
    <ns0:row r="27" ht="15.75" customHeight="1" s="45"/>
    <ns0:row r="28" ht="15.75" customHeight="1" s="45">
      <ns0:c r="A28" s="7" t="inlineStr">
        <ns0:is>
          <ns0:t>D. BÀI TEST NGƯỜI LẠ — nhóm khác đọc One-Pager trong 2 phút</ns0:t>
        </ns0:is>
      </ns0:c>
      <ns0:c r="B28" s="10" t="n"/>
      <ns0:c r="C28" s="10" t="n"/>
      <ns0:c r="D28" s="10" t="n"/>
      <ns0:c r="E28" s="10" t="n"/>
      <ns0:c r="F28" s="10" t="n"/>
      <ns0:c r="G28" s="10" t="n"/>
      <ns0:c r="H28" s="10" t="n"/>
    </ns0:row>
    <ns0:row r="29" ht="35" customHeight="1" s="45">
      <ns0:c r="A29" s="14" t="inlineStr">
        <ns0:is>
          <ns0:t>Họ trả lời được: bán gì, cho ai, tính tiền theo đơn vị nào? (Được/Không)</ns0:t>
        </ns0:is>
      </ns0:c>
      <ns0:c r="B29" s="46" t="inlineStr">
        <ns0:is>
          <ns0:t>Chưa thực hiện với người lạ; không ghi Được khi chưa đo.</ns0:t>
        </ns0:is>
      </ns0:c>
    </ns0:row>
    <ns0:row r="30" ht="36.875" customHeight="1" s="45">
      <ns0:c r="A30" s="14" t="inlineStr">
        <ns0:is>
          <ns0:t>Họ trả lời được: có lãi trên mỗi đơn vị không, số nào chứng minh? (Được/Không)</ns0:t>
        </ns0:is>
      </ns0:c>
      <ns0:c r="B30" s="46" t="inlineStr">
        <ns0:is>
          <ns0:t>Chưa thực hiện với người lạ; AI review chỉ kiểm tra nội bộ.</ns0:t>
        </ns0:is>
      </ns0:c>
    </ns0:row>
    <ns0:row r="31" ht="36.25" customHeight="1" s="45">
      <ns0:c r="A31" s="14" t="inlineStr">
        <ns0:is>
          <ns0:t>Họ trả lời được: tiếp cận khách qua đâu, vì sao kênh đó? (Được/Không)</ns0:t>
        </ns0:is>
      </ns0:c>
      <ns0:c r="B31" s="46" t="inlineStr">
        <ns0:is>
          <ns0:t>Chưa thực hiện với người lạ; hẹn2 người độc lập trước nộp.</ns0:t>
        </ns0:is>
      </ns0:c>
    </ns0:row>
    <ns0:row r="32" ht="32" customHeight="1" s="45">
      <ns0:c r="A32" s="14" t="inlineStr">
        <ns0:is>
          <ns0:t>Số câu họ phải hỏi lại (mục tiêu ≤ 3)</ns0:t>
        </ns0:is>
      </ns0:c>
      <ns0:c r="B32" s="46" t="inlineStr">
        <ns0:is>
          <ns0:t>Chưa đo — chưa có người đọc độc lập thực tế.</ns0:t>
        </ns0:is>
      </ns0:c>
    </ns0:row>
    <ns0:row r="33" ht="15.75" customHeight="1" s="45"/>
    <ns0:row r="34" ht="15.75" customHeight="1" s="45"/>
    <ns0:row r="35" ht="15.75" customHeight="1" s="45"/>
    <ns0:row r="36" ht="15.75" customHeight="1" s="45"/>
    <ns0:row r="37" ht="15.75" customHeight="1" s="45"/>
    <ns0:row r="38" ht="15.75" customHeight="1" s="45"/>
    <ns0:row r="39" ht="15.75" customHeight="1" s="45"/>
    <ns0:row r="40" ht="15.75" customHeight="1" s="45"/>
    <ns0:row r="41" ht="15.75" customHeight="1" s="45"/>
    <ns0:row r="42" ht="15.75" customHeight="1" s="45"/>
    <ns0:row r="43" ht="15.75" customHeight="1" s="45"/>
    <ns0:row r="44" ht="15.75" customHeight="1" s="45"/>
    <ns0:row r="45" ht="15.75" customHeight="1" s="45"/>
    <ns0:row r="46" ht="15.75" customHeight="1" s="45"/>
    <ns0:row r="47" ht="15.75" customHeight="1" s="45"/>
    <ns0:row r="48" ht="15.75" customHeight="1" s="45"/>
    <ns0:row r="49" ht="15.75" customHeight="1" s="45"/>
    <ns0:row r="50" ht="15.75" customHeight="1" s="45"/>
    <ns0:row r="51" ht="15.75" customHeight="1" s="45"/>
    <ns0:row r="52" ht="15.75" customHeight="1" s="45"/>
    <ns0:row r="53" ht="15.75" customHeight="1" s="45"/>
    <ns0:row r="54" ht="15.75" customHeight="1" s="45"/>
    <ns0:row r="55" ht="15.75" customHeight="1" s="45"/>
    <ns0:row r="56" ht="15.75" customHeight="1" s="45"/>
    <ns0:row r="57" ht="15.75" customHeight="1" s="45"/>
    <ns0:row r="58" ht="15.75" customHeight="1" s="45"/>
    <ns0:row r="59" ht="15.75" customHeight="1" s="45"/>
    <ns0:row r="60" ht="15.75" customHeight="1" s="45"/>
    <ns0:row r="61" ht="15.75" customHeight="1" s="45"/>
    <ns0:row r="62" ht="15.75" customHeight="1" s="45"/>
    <ns0:row r="63" ht="15.75" customHeight="1" s="45"/>
    <ns0:row r="64" ht="15.75" customHeight="1" s="45"/>
    <ns0:row r="65" ht="15.75" customHeight="1" s="45"/>
    <ns0:row r="66" ht="15.75" customHeight="1" s="45"/>
    <ns0:row r="67" ht="15.75" customHeight="1" s="45"/>
    <ns0:row r="68" ht="15.75" customHeight="1" s="45"/>
    <ns0:row r="69" ht="15.75" customHeight="1" s="45"/>
    <ns0:row r="70" ht="15.75" customHeight="1" s="45"/>
    <ns0:row r="71" ht="15.75" customHeight="1" s="45"/>
    <ns0:row r="72" ht="15.75" customHeight="1" s="45"/>
    <ns0:row r="73" ht="15.75" customHeight="1" s="45"/>
    <ns0:row r="74" ht="15.75" customHeight="1" s="45"/>
    <ns0:row r="75" ht="15.75" customHeight="1" s="45"/>
    <ns0:row r="76" ht="15.75" customHeight="1" s="45"/>
    <ns0:row r="77" ht="15.75" customHeight="1" s="45"/>
    <ns0:row r="78" ht="15.75" customHeight="1" s="45"/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pageMargins left="0.75" right="0.75" top="1" bottom="1" header="0" footer="0"/>
  <ns0:pageSetup orientation="portrait" paperSize="9"/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H43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26" customWidth="1" style="45" min="1" max="1"/>
    <ns0:col width="30" customWidth="1" style="45" min="2" max="2"/>
    <ns0:col width="20" customWidth="1" style="45" min="3" max="3"/>
    <ns0:col width="16" customWidth="1" style="45" min="4" max="4"/>
    <ns0:col width="56" customWidth="1" style="45" min="5" max="5"/>
    <ns0:col width="15" customWidth="1" style="45" min="6" max="8"/>
    <ns0:col width="8.710000000000001" customWidth="1" style="45" min="9" max="26"/>
  </ns0:cols>
  <ns0:sheetData>
    <ns0:row r="1" ht="24" customHeight="1" s="45">
      <ns0:c r="A1" s="1" t="inlineStr">
        <ns0:is>
          <ns0:t>TAB 6 — BENCHMARKS (CHỈ ĐỌC)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Giá chốt ngày 26/08/2026. Dòng có ⏳ là GIÁ KHUYẾN MẠI CÓ HẠN — phải kiểm tra lại.</ns0:t>
        </ns0:is>
      </ns0:c>
    </ns0:row>
    <ns0:row r="3">
      <ns0:c r="A3" s="14" t="inlineStr">
        <ns0:is>
          <ns0:t>NGÀY BẠN KIỂM TRA LẠI GIÁ</ns0:t>
        </ns0:is>
      </ns0:c>
      <ns0:c r="B3" s="5" t="inlineStr">
        <ns0:is>
          <ns0:t>2026-10-08</ns0:t>
        </ns0:is>
      </ns0:c>
      <ns0:c r="D3" s="17" t="inlineStr">
        <ns0:is>
          <ns0:t>Bắt buộc điền — Rubric có chấm mục này</ns0:t>
        </ns0:is>
      </ns0:c>
    </ns0:row>
    <ns0:row r="5">
      <ns0:c r="A5" s="42" t="inlineStr">
        <ns0:is>
          <ns0:t>Nhóm</ns0:t>
        </ns0:is>
      </ns0:c>
      <ns0:c r="B5" s="42" t="inlineStr">
        <ns0:is>
          <ns0:t>Mục</ns0:t>
        </ns0:is>
      </ns0:c>
      <ns0:c r="C5" s="42" t="inlineStr">
        <ns0:is>
          <ns0:t>Giá</ns0:t>
        </ns0:is>
      </ns0:c>
      <ns0:c r="D5" s="42" t="inlineStr">
        <ns0:is>
          <ns0:t>Đơn vị</ns0:t>
        </ns0:is>
      </ns0:c>
      <ns0:c r="E5" s="42" t="inlineStr">
        <ns0:is>
          <ns0:t>Nguồn</ns0:t>
        </ns0:is>
      </ns0:c>
    </ns0:row>
    <ns0:row r="6">
      <ns0:c r="A6" s="43" t="inlineStr">
        <ns0:is>
          <ns0:t>LLM</ns0:t>
        </ns0:is>
      </ns0:c>
      <ns0:c r="B6" s="43" t="inlineStr">
        <ns0:is>
          <ns0:t>Claude Opus 5 — input / output</ns0:t>
        </ns0:is>
      </ns0:c>
      <ns0:c r="C6" s="43" t="inlineStr">
        <ns0:is>
          <ns0:t>5,00 / 25,00</ns0:t>
        </ns0:is>
      </ns0:c>
      <ns0:c r="D6" s="43" t="inlineStr">
        <ns0:is>
          <ns0:t>$ / 1M token</ns0:t>
        </ns0:is>
      </ns0:c>
      <ns0:c r="E6" s="44" t="inlineStr">
        <ns0:is>
          <ns0:t>platform.claude.com/docs/en/about-claude/pricing</ns0:t>
        </ns0:is>
      </ns0:c>
    </ns0:row>
    <ns0:row r="7">
      <ns0:c r="A7" s="43" t="inlineStr">
        <ns0:is>
          <ns0:t>LLM</ns0:t>
        </ns0:is>
      </ns0:c>
      <ns0:c r="B7" s="43" t="inlineStr">
        <ns0:is>
          <ns0:t>Claude Sonnet 5 — input / output</ns0:t>
        </ns0:is>
      </ns0:c>
      <ns0:c r="C7" s="43" t="inlineStr">
        <ns0:is>
          <ns0:t>2,00 / 10,00</ns0:t>
        </ns0:is>
      </ns0:c>
      <ns0:c r="D7" s="43" t="inlineStr">
        <ns0:is>
          <ns0:t>$ / 1M token</ns0:t>
        </ns0:is>
      </ns0:c>
      <ns0:c r="E7" s="44" t="inlineStr">
        <ns0:is>
          <ns0:t>platform.claude.com/docs/en/about-claude/pricing</ns0:t>
        </ns0:is>
      </ns0:c>
    </ns0:row>
    <ns0:row r="8">
      <ns0:c r="A8" s="43" t="inlineStr">
        <ns0:is>
          <ns0:t>LLM</ns0:t>
        </ns0:is>
      </ns0:c>
      <ns0:c r="B8" s="43" t="inlineStr">
        <ns0:is>
          <ns0:t>Claude Haiku 4.5 — input / output</ns0:t>
        </ns0:is>
      </ns0:c>
      <ns0:c r="C8" s="43" t="inlineStr">
        <ns0:is>
          <ns0:t>1,00 / 5,00</ns0:t>
        </ns0:is>
      </ns0:c>
      <ns0:c r="D8" s="43" t="inlineStr">
        <ns0:is>
          <ns0:t>$ / 1M token</ns0:t>
        </ns0:is>
      </ns0:c>
      <ns0:c r="E8" s="44" t="inlineStr">
        <ns0:is>
          <ns0:t>platform.claude.com/docs/en/about-claude/pricing</ns0:t>
        </ns0:is>
      </ns0:c>
    </ns0:row>
    <ns0:row r="9">
      <ns0:c r="A9" s="43" t="inlineStr">
        <ns0:is>
          <ns0:t>LLM</ns0:t>
        </ns0:is>
      </ns0:c>
      <ns0:c r="B9" s="43" t="inlineStr">
        <ns0:is>
          <ns0:t>Claude — cache write 5' / cache read</ns0:t>
        </ns0:is>
      </ns0:c>
      <ns0:c r="C9" s="43" t="inlineStr">
        <ns0:is>
          <ns0:t>1,25× / 0,10× input</ns0:t>
        </ns0:is>
      </ns0:c>
      <ns0:c r="D9" s="43" t="inlineStr">
        <ns0:is>
          <ns0:t>hệ số</ns0:t>
        </ns0:is>
      </ns0:c>
      <ns0:c r="E9" s="44" t="inlineStr">
        <ns0:is>
          <ns0:t>platform.claude.com/docs/en/about-claude/pricing</ns0:t>
        </ns0:is>
      </ns0:c>
    </ns0:row>
    <ns0:row r="10">
      <ns0:c r="A10" s="43" t="inlineStr">
        <ns0:is>
          <ns0:t>LLM</ns0:t>
        </ns0:is>
      </ns0:c>
      <ns0:c r="B10" s="43" t="inlineStr">
        <ns0:is>
          <ns0:t>⏳ OpenAI GPT-5.6 Sol — input / output</ns0:t>
        </ns0:is>
      </ns0:c>
      <ns0:c r="C10" s="43" t="inlineStr">
        <ns0:is>
          <ns0:t>4,00 / 20,00</ns0:t>
        </ns0:is>
      </ns0:c>
      <ns0:c r="D10" s="43" t="inlineStr">
        <ns0:is>
          <ns0:t>$ / 1M token</ns0:t>
        </ns0:is>
      </ns0:c>
      <ns0:c r="E10" s="44" t="inlineStr">
        <ns0:is>
          <ns0:t>developers.openai.com/api/docs/pricing (KM 21/08–21/11/2026; list 5,00/30,00)</ns0:t>
        </ns0:is>
      </ns0:c>
    </ns0:row>
    <ns0:row r="11">
      <ns0:c r="A11" s="43" t="inlineStr">
        <ns0:is>
          <ns0:t>LLM</ns0:t>
        </ns0:is>
      </ns0:c>
      <ns0:c r="B11" s="43" t="inlineStr">
        <ns0:is>
          <ns0:t>OpenAI GPT-5.6 Luna — input / output</ns0:t>
        </ns0:is>
      </ns0:c>
      <ns0:c r="C11" s="43" t="inlineStr">
        <ns0:is>
          <ns0:t>0,20 / 1,20</ns0:t>
        </ns0:is>
      </ns0:c>
      <ns0:c r="D11" s="43" t="inlineStr">
        <ns0:is>
          <ns0:t>$ / 1M token</ns0:t>
        </ns0:is>
      </ns0:c>
      <ns0:c r="E11" s="44" t="inlineStr">
        <ns0:is>
          <ns0:t>developers.openai.com/api/docs/pricing</ns0:t>
        </ns0:is>
      </ns0:c>
    </ns0:row>
    <ns0:row r="12">
      <ns0:c r="A12" s="43" t="inlineStr">
        <ns0:is>
          <ns0:t>LLM</ns0:t>
        </ns0:is>
      </ns0:c>
      <ns0:c r="B12" s="43" t="inlineStr">
        <ns0:is>
          <ns0:t>OpenAI — cached input / Batch API</ns0:t>
        </ns0:is>
      </ns0:c>
      <ns0:c r="C12" s="43" t="inlineStr">
        <ns0:is>
          <ns0:t>10% input / −50%</ns0:t>
        </ns0:is>
      </ns0:c>
      <ns0:c r="D12" s="43" t="inlineStr">
        <ns0:is>
          <ns0:t>hệ số</ns0:t>
        </ns0:is>
      </ns0:c>
      <ns0:c r="E12" s="44" t="inlineStr">
        <ns0:is>
          <ns0:t>developers.openai.com/api/docs/pricing</ns0:t>
        </ns0:is>
      </ns0:c>
    </ns0:row>
    <ns0:row r="13">
      <ns0:c r="A13" s="43" t="inlineStr">
        <ns0:is>
          <ns0:t>LLM</ns0:t>
        </ns0:is>
      </ns0:c>
      <ns0:c r="B13" s="43" t="inlineStr">
        <ns0:is>
          <ns0:t>Gemini 3.1 Pro — input / output (≤200k)</ns0:t>
        </ns0:is>
      </ns0:c>
      <ns0:c r="C13" s="43" t="inlineStr">
        <ns0:is>
          <ns0:t>2,00 / 12,00</ns0:t>
        </ns0:is>
      </ns0:c>
      <ns0:c r="D13" s="43" t="inlineStr">
        <ns0:is>
          <ns0:t>$ / 1M token</ns0:t>
        </ns0:is>
      </ns0:c>
      <ns0:c r="E13" s="44" t="inlineStr">
        <ns0:is>
          <ns0:t>ai.google.dev/gemini-api/docs/pricing</ns0:t>
        </ns0:is>
      </ns0:c>
    </ns0:row>
    <ns0:row r="14">
      <ns0:c r="A14" s="43" t="inlineStr">
        <ns0:is>
          <ns0:t>LLM</ns0:t>
        </ns0:is>
      </ns0:c>
      <ns0:c r="B14" s="43" t="inlineStr">
        <ns0:is>
          <ns0:t>⏳ Gemini 3.7 Flash — input / output</ns0:t>
        </ns0:is>
      </ns0:c>
      <ns0:c r="C14" s="43" t="inlineStr">
        <ns0:is>
          <ns0:t>0,75 / 3,75</ns0:t>
        </ns0:is>
      </ns0:c>
      <ns0:c r="D14" s="43" t="inlineStr">
        <ns0:is>
          <ns0:t>$ / 1M token</ns0:t>
        </ns0:is>
      </ns0:c>
      <ns0:c r="E14" s="44" t="inlineStr">
        <ns0:is>
          <ns0:t>ai.google.dev/gemini-api/docs/pricing (KM đến 31/12/2026; sau đó 1,50/7,50)</ns0:t>
        </ns0:is>
      </ns0:c>
    </ns0:row>
    <ns0:row r="15">
      <ns0:c r="A15" s="43" t="inlineStr">
        <ns0:is>
          <ns0:t>STT</ns0:t>
        </ns0:is>
      </ns0:c>
      <ns0:c r="B15" s="43" t="inlineStr">
        <ns0:is>
          <ns0:t>Deepgram Nova-3 — pre-recorded</ns0:t>
        </ns0:is>
      </ns0:c>
      <ns0:c r="C15" s="43" t="inlineStr">
        <ns0:is>
          <ns0:t>0,0043</ns0:t>
        </ns0:is>
      </ns0:c>
      <ns0:c r="D15" s="43" t="inlineStr">
        <ns0:is>
          <ns0:t>$ / phút</ns0:t>
        </ns0:is>
      </ns0:c>
      <ns0:c r="E15" s="44" t="inlineStr">
        <ns0:is>
          <ns0:t>deepgram.com/pricing</ns0:t>
        </ns0:is>
      </ns0:c>
    </ns0:row>
    <ns0:row r="16">
      <ns0:c r="A16" s="43" t="inlineStr">
        <ns0:is>
          <ns0:t>STT</ns0:t>
        </ns0:is>
      </ns0:c>
      <ns0:c r="B16" s="43" t="inlineStr">
        <ns0:is>
          <ns0:t>⏳ Deepgram Nova-3 — streaming</ns0:t>
        </ns0:is>
      </ns0:c>
      <ns0:c r="C16" s="43" t="inlineStr">
        <ns0:is>
          <ns0:t>list 0,0077 · KM 0,0048</ns0:t>
        </ns0:is>
      </ns0:c>
      <ns0:c r="D16" s="43" t="inlineStr">
        <ns0:is>
          <ns0:t>$ / phút</ns0:t>
        </ns0:is>
      </ns0:c>
      <ns0:c r="E16" s="44" t="inlineStr">
        <ns0:is>
          <ns0:t>deepgram.com/pricing — đang khuyến mại, kiểm tra lại</ns0:t>
        </ns0:is>
      </ns0:c>
    </ns0:row>
    <ns0:row r="17">
      <ns0:c r="A17" s="43" t="inlineStr">
        <ns0:is>
          <ns0:t>STT</ns0:t>
        </ns0:is>
      </ns0:c>
      <ns0:c r="B17" s="43" t="inlineStr">
        <ns0:is>
          <ns0:t>AssemblyAI Universal-2 — async</ns0:t>
        </ns0:is>
      </ns0:c>
      <ns0:c r="C17" s="43" t="inlineStr">
        <ns0:is>
          <ns0:t>0,0025</ns0:t>
        </ns0:is>
      </ns0:c>
      <ns0:c r="D17" s="43" t="inlineStr">
        <ns0:is>
          <ns0:t>$ / phút</ns0:t>
        </ns0:is>
      </ns0:c>
      <ns0:c r="E17" s="44" t="inlineStr">
        <ns0:is>
          <ns0:t>assemblyai.com/pricing</ns0:t>
        </ns0:is>
      </ns0:c>
    </ns0:row>
    <ns0:row r="18">
      <ns0:c r="A18" s="43" t="inlineStr">
        <ns0:is>
          <ns0:t>STT</ns0:t>
        </ns0:is>
      </ns0:c>
      <ns0:c r="B18" s="43" t="inlineStr">
        <ns0:is>
          <ns0:t>OpenAI gpt-4o-mini-transcribe</ns0:t>
        </ns0:is>
      </ns0:c>
      <ns0:c r="C18" s="43" t="inlineStr">
        <ns0:is>
          <ns0:t>0,0030</ns0:t>
        </ns0:is>
      </ns0:c>
      <ns0:c r="D18" s="43" t="inlineStr">
        <ns0:is>
          <ns0:t>$ / phút</ns0:t>
        </ns0:is>
      </ns0:c>
      <ns0:c r="E18" s="44" t="inlineStr">
        <ns0:is>
          <ns0:t>developers.openai.com/api/docs/pricing</ns0:t>
        </ns0:is>
      </ns0:c>
    </ns0:row>
    <ns0:row r="19">
      <ns0:c r="A19" s="43" t="inlineStr">
        <ns0:is>
          <ns0:t>TTS</ns0:t>
        </ns0:is>
      </ns0:c>
      <ns0:c r="B19" s="43" t="inlineStr">
        <ns0:is>
          <ns0:t>Google Cloud TTS — Standard</ns0:t>
        </ns0:is>
      </ns0:c>
      <ns0:c r="C19" s="43" t="inlineStr">
        <ns0:is>
          <ns0:t>4,00</ns0:t>
        </ns0:is>
      </ns0:c>
      <ns0:c r="D19" s="43" t="inlineStr">
        <ns0:is>
          <ns0:t>$ / 1M ký tự</ns0:t>
        </ns0:is>
      </ns0:c>
      <ns0:c r="E19" s="44" t="inlineStr">
        <ns0:is>
          <ns0:t>cloud.google.com/text-to-speech/pricing (rẻ nhất)</ns0:t>
        </ns0:is>
      </ns0:c>
    </ns0:row>
    <ns0:row r="20">
      <ns0:c r="A20" s="43" t="inlineStr">
        <ns0:is>
          <ns0:t>TTS</ns0:t>
        </ns0:is>
      </ns0:c>
      <ns0:c r="B20" s="43" t="inlineStr">
        <ns0:is>
          <ns0:t>OpenAI tts-1</ns0:t>
        </ns0:is>
      </ns0:c>
      <ns0:c r="C20" s="43" t="inlineStr">
        <ns0:is>
          <ns0:t>15,00</ns0:t>
        </ns0:is>
      </ns0:c>
      <ns0:c r="D20" s="43" t="inlineStr">
        <ns0:is>
          <ns0:t>$ / 1M ký tự</ns0:t>
        </ns0:is>
      </ns0:c>
      <ns0:c r="E20" s="44" t="inlineStr">
        <ns0:is>
          <ns0:t>developers.openai.com/api/docs/pricing</ns0:t>
        </ns0:is>
      </ns0:c>
    </ns0:row>
    <ns0:row r="21" ht="15.75" customHeight="1" s="45">
      <ns0:c r="A21" s="43" t="inlineStr">
        <ns0:is>
          <ns0:t>TTS</ns0:t>
        </ns0:is>
      </ns0:c>
      <ns0:c r="B21" s="43" t="inlineStr">
        <ns0:is>
          <ns0:t>ElevenLabs Flash / Turbo</ns0:t>
        </ns0:is>
      </ns0:c>
      <ns0:c r="C21" s="43" t="inlineStr">
        <ns0:is>
          <ns0:t>50,00</ns0:t>
        </ns0:is>
      </ns0:c>
      <ns0:c r="D21" s="43" t="inlineStr">
        <ns0:is>
          <ns0:t>$ / 1M ký tự</ns0:t>
        </ns0:is>
      </ns0:c>
      <ns0:c r="E21" s="44" t="inlineStr">
        <ns0:is>
          <ns0:t>elevenlabs.io/pricing/api</ns0:t>
        </ns0:is>
      </ns0:c>
    </ns0:row>
    <ns0:row r="22" ht="15.75" customHeight="1" s="45">
      <ns0:c r="A22" s="43" t="inlineStr">
        <ns0:is>
          <ns0:t>TTS</ns0:t>
        </ns0:is>
      </ns0:c>
      <ns0:c r="B22" s="43" t="inlineStr">
        <ns0:is>
          <ns0:t>ElevenLabs v3 / v2 Multilingual</ns0:t>
        </ns0:is>
      </ns0:c>
      <ns0:c r="C22" s="43" t="inlineStr">
        <ns0:is>
          <ns0:t>100,00</ns0:t>
        </ns0:is>
      </ns0:c>
      <ns0:c r="D22" s="43" t="inlineStr">
        <ns0:is>
          <ns0:t>$ / 1M ký tự</ns0:t>
        </ns0:is>
      </ns0:c>
      <ns0:c r="E22" s="44" t="inlineStr">
        <ns0:is>
          <ns0:t>elevenlabs.io/pricing/api</ns0:t>
        </ns0:is>
      </ns0:c>
    </ns0:row>
    <ns0:row r="23" ht="15.75" customHeight="1" s="45">
      <ns0:c r="A23" s="43" t="inlineStr">
        <ns0:is>
          <ns0:t>Quy đổi</ns0:t>
        </ns0:is>
      </ns0:c>
      <ns0:c r="B23" s="43" t="inlineStr">
        <ns0:is>
          <ns0:t>Tốc độ nói</ns0:t>
        </ns0:is>
      </ns0:c>
      <ns0:c r="C23" s="43" t="inlineStr">
        <ns0:is>
          <ns0:t>≈ 900</ns0:t>
        </ns0:is>
      </ns0:c>
      <ns0:c r="D23" s="43" t="inlineStr">
        <ns0:is>
          <ns0:t>ký tự / phút</ns0:t>
        </ns0:is>
      </ns0:c>
      <ns0:c r="E23" s="44" t="inlineStr">
        <ns0:is>
          <ns0:t>≈150 từ/phút — dùng để đổi phút ↔ ký tự</ns0:t>
        </ns0:is>
      </ns0:c>
    </ns0:row>
    <ns0:row r="24" ht="15.75" customHeight="1" s="45">
      <ns0:c r="A24" s="43" t="inlineStr">
        <ns0:is>
          <ns0:t>Lưu ý</ns0:t>
        </ns0:is>
      </ns0:c>
      <ns0:c r="B24" s="43" t="inlineStr">
        <ns0:is>
          <ns0:t>Google TTS — ký tự CJK</ns0:t>
        </ns0:is>
      </ns0:c>
      <ns0:c r="C24" s="43" t="inlineStr">
        <ns0:is>
          <ns0:t>tính là 1 ký tự</ns0:t>
        </ns0:is>
      </ns0:c>
      <ns0:c r="D24" s="43" t="inlineStr">
        <ns0:is>
          <ns0:t>—</ns0:t>
        </ns0:is>
      </ns0:c>
      <ns0:c r="E24" s="44" t="inlineStr">
        <ns0:is>
          <ns0:t>cloud.google.com/text-to-speech/pricing (KHÔNG phải ×2)</ns0:t>
        </ns0:is>
      </ns0:c>
    </ns0:row>
    <ns0:row r="25" ht="15.75" customHeight="1" s="45">
      <ns0:c r="A25" s="43" t="inlineStr">
        <ns0:is>
          <ns0:t>Lưu ý</ns0:t>
        </ns0:is>
      </ns0:c>
      <ns0:c r="B25" s="43" t="inlineStr">
        <ns0:is>
          <ns0:t>Google STT — tính theo kênh</ns0:t>
        </ns0:is>
      </ns0:c>
      <ns0:c r="C25" s="43" t="inlineStr">
        <ns0:is>
          <ns0:t>4 kênh × 120s = 480s</ns0:t>
        </ns0:is>
      </ns0:c>
      <ns0:c r="D25" s="43" t="inlineStr">
        <ns0:is>
          <ns0:t>—</ns0:t>
        </ns0:is>
      </ns0:c>
      <ns0:c r="E25" s="44" t="inlineStr">
        <ns0:is>
          <ns0:t>cloud.google.com/speech-to-text/pricing</ns0:t>
        </ns0:is>
      </ns0:c>
    </ns0:row>
    <ns0:row r="26" ht="15.75" customHeight="1" s="45">
      <ns0:c r="A26" s="43" t="inlineStr">
        <ns0:is>
          <ns0:t>Lưu ý</ns0:t>
        </ns0:is>
      </ns0:c>
      <ns0:c r="B26" s="43" t="inlineStr">
        <ns0:is>
          <ns0:t>Streaming vs async STT</ns0:t>
        </ns0:is>
      </ns0:c>
      <ns0:c r="C26" s="43" t="inlineStr">
        <ns0:is>
          <ns0:t>1× đến ~5×</ns0:t>
        </ns0:is>
      </ns0:c>
      <ns0:c r="D26" s="43" t="inlineStr">
        <ns0:is>
          <ns0:t>hệ số</ns0:t>
        </ns0:is>
      </ns0:c>
      <ns0:c r="E26" s="44" t="inlineStr">
        <ns0:is>
          <ns0:t>Tuỳ nhà cung cấp — AssemblyAI 1,0× · Google ~5×. Đừng dùng hệ số chung</ns0:t>
        </ns0:is>
      </ns0:c>
    </ns0:row>
    <ns0:row r="27" ht="15.75" customHeight="1" s="45">
      <ns0:c r="A27" s="43" t="inlineStr">
        <ns0:is>
          <ns0:t>Sản phẩm</ns0:t>
        </ns0:is>
      </ns0:c>
      <ns0:c r="B27" s="43" t="inlineStr">
        <ns0:is>
          <ns0:t>Intercom Fin — resolution</ns0:t>
        </ns0:is>
      </ns0:c>
      <ns0:c r="C27" s="43" t="inlineStr">
        <ns0:is>
          <ns0:t>0,99</ns0:t>
        </ns0:is>
      </ns0:c>
      <ns0:c r="D27" s="43" t="inlineStr">
        <ns0:is>
          <ns0:t>$ / outcome</ns0:t>
        </ns0:is>
      </ns0:c>
      <ns0:c r="E27" s="44" t="inlineStr">
        <ns0:is>
          <ns0:t>fin.ai/pricing</ns0:t>
        </ns0:is>
      </ns0:c>
    </ns0:row>
    <ns0:row r="28" ht="15.75" customHeight="1" s="45">
      <ns0:c r="A28" s="43" t="inlineStr">
        <ns0:is>
          <ns0:t>Sản phẩm</ns0:t>
        </ns0:is>
      </ns0:c>
      <ns0:c r="B28" s="43" t="inlineStr">
        <ns0:is>
          <ns0:t>Intercom Fin — qualification (sales)</ns0:t>
        </ns0:is>
      </ns0:c>
      <ns0:c r="C28" s="43" t="inlineStr">
        <ns0:is>
          <ns0:t>9,99</ns0:t>
        </ns0:is>
      </ns0:c>
      <ns0:c r="D28" s="43" t="inlineStr">
        <ns0:is>
          <ns0:t>$ / outcome</ns0:t>
        </ns0:is>
      </ns0:c>
      <ns0:c r="E28" s="44" t="inlineStr">
        <ns0:is>
          <ns0:t>fin.ai/pricing</ns0:t>
        </ns0:is>
      </ns0:c>
    </ns0:row>
    <ns0:row r="29" ht="15.75" customHeight="1" s="45">
      <ns0:c r="A29" s="43" t="inlineStr">
        <ns0:is>
          <ns0:t>Sản phẩm</ns0:t>
        </ns0:is>
      </ns0:c>
      <ns0:c r="B29" s="43" t="inlineStr">
        <ns0:is>
          <ns0:t>Zendesk — automated resolution</ns0:t>
        </ns0:is>
      </ns0:c>
      <ns0:c r="C29" s="43" t="inlineStr">
        <ns0:is>
          <ns0:t>1,50</ns0:t>
        </ns0:is>
      </ns0:c>
      <ns0:c r="D29" s="43" t="inlineStr">
        <ns0:is>
          <ns0:t>$ / resolution</ns0:t>
        </ns0:is>
      </ns0:c>
      <ns0:c r="E29" s="44" t="inlineStr">
        <ns0:is>
          <ns0:t>zendesk.com/blog/ai/agentic-ai/outcome-based-pricing/ (blog, không trên trang giá)</ns0:t>
        </ns0:is>
      </ns0:c>
    </ns0:row>
    <ns0:row r="30" ht="15.75" customHeight="1" s="45">
      <ns0:c r="A30" s="43" t="inlineStr">
        <ns0:is>
          <ns0:t>Sản phẩm</ns0:t>
        </ns0:is>
      </ns0:c>
      <ns0:c r="B30" s="43" t="inlineStr">
        <ns0:is>
          <ns0:t>Salesforce Agentforce — Flex Credit</ns0:t>
        </ns0:is>
      </ns0:c>
      <ns0:c r="C30" s="43" t="inlineStr">
        <ns0:is>
          <ns0:t>0,005 (action = 0,10)</ns0:t>
        </ns0:is>
      </ns0:c>
      <ns0:c r="D30" s="43" t="inlineStr">
        <ns0:is>
          <ns0:t>$ / credit</ns0:t>
        </ns0:is>
      </ns0:c>
      <ns0:c r="E30" s="44" t="inlineStr">
        <ns0:is>
          <ns0:t>salesforce.com/agentforce/pricing</ns0:t>
        </ns0:is>
      </ns0:c>
    </ns0:row>
    <ns0:row r="31" ht="15.75" customHeight="1" s="45">
      <ns0:c r="A31" s="43" t="inlineStr">
        <ns0:is>
          <ns0:t>Sản phẩm</ns0:t>
        </ns0:is>
      </ns0:c>
      <ns0:c r="B31" s="43" t="inlineStr">
        <ns0:is>
          <ns0:t>Salesforce Agentforce — conversation</ns0:t>
        </ns0:is>
      </ns0:c>
      <ns0:c r="C31" s="43" t="inlineStr">
        <ns0:is>
          <ns0:t>2,00</ns0:t>
        </ns0:is>
      </ns0:c>
      <ns0:c r="D31" s="43" t="inlineStr">
        <ns0:is>
          <ns0:t>$ / conversation</ns0:t>
        </ns0:is>
      </ns0:c>
      <ns0:c r="E31" s="44" t="inlineStr">
        <ns0:is>
          <ns0:t>salesforce.com/agentforce/pricing</ns0:t>
        </ns0:is>
      </ns0:c>
    </ns0:row>
    <ns0:row r="32" ht="15.75" customHeight="1" s="45">
      <ns0:c r="A32" s="43" t="inlineStr">
        <ns0:is>
          <ns0:t>Sản phẩm</ns0:t>
        </ns0:is>
      </ns0:c>
      <ns0:c r="B32" s="43" t="inlineStr">
        <ns0:is>
          <ns0:t>GitHub Copilot — AI Credit</ns0:t>
        </ns0:is>
      </ns0:c>
      <ns0:c r="C32" s="43" t="inlineStr">
        <ns0:is>
          <ns0:t>0,01</ns0:t>
        </ns0:is>
      </ns0:c>
      <ns0:c r="D32" s="43" t="inlineStr">
        <ns0:is>
          <ns0:t>$ / credit</ns0:t>
        </ns0:is>
      </ns0:c>
      <ns0:c r="E32" s="44" t="inlineStr">
        <ns0:is>
          <ns0:t>docs.github.com/en/copilot/get-started/plans</ns0:t>
        </ns0:is>
      </ns0:c>
    </ns0:row>
    <ns0:row r="33" ht="15.75" customHeight="1" s="45">
      <ns0:c r="A33" s="43" t="inlineStr">
        <ns0:is>
          <ns0:t>Sản phẩm</ns0:t>
        </ns0:is>
      </ns0:c>
      <ns0:c r="B33" s="43" t="inlineStr">
        <ns0:is>
          <ns0:t>GitHub Copilot Business / Enterprise</ns0:t>
        </ns0:is>
      </ns0:c>
      <ns0:c r="C33" s="43" t="inlineStr">
        <ns0:is>
          <ns0:t>19 / 39</ns0:t>
        </ns0:is>
      </ns0:c>
      <ns0:c r="D33" s="43" t="inlineStr">
        <ns0:is>
          <ns0:t>$ / seat / tháng</ns0:t>
        </ns0:is>
      </ns0:c>
      <ns0:c r="E33" s="44" t="inlineStr">
        <ns0:is>
          <ns0:t>docs.github.com/en/copilot/get-started/plans</ns0:t>
        </ns0:is>
      </ns0:c>
    </ns0:row>
    <ns0:row r="34" ht="15.75" customHeight="1" s="45">
      <ns0:c r="A34" s="43" t="inlineStr">
        <ns0:is>
          <ns0:t>Sản phẩm</ns0:t>
        </ns0:is>
      </ns0:c>
      <ns0:c r="B34" s="43" t="inlineStr">
        <ns0:is>
          <ns0:t>Notion — Business / credits</ns0:t>
        </ns0:is>
      </ns0:c>
      <ns0:c r="C34" s="43" t="inlineStr">
        <ns0:is>
          <ns0:t>20 / 10 per 1.000</ns0:t>
        </ns0:is>
      </ns0:c>
      <ns0:c r="D34" s="43" t="inlineStr">
        <ns0:is>
          <ns0:t>$ / member / tháng</ns0:t>
        </ns0:is>
      </ns0:c>
      <ns0:c r="E34" s="44" t="inlineStr">
        <ns0:is>
          <ns0:t>notion.com/pricing</ns0:t>
        </ns0:is>
      </ns0:c>
    </ns0:row>
    <ns0:row r="35" ht="15.75" customHeight="1" s="45">
      <ns0:c r="A35" s="43" t="inlineStr">
        <ns0:is>
          <ns0:t>Benchmark</ns0:t>
        </ns0:is>
      </ns0:c>
      <ns0:c r="B35" s="43" t="inlineStr">
        <ns0:is>
          <ns0:t>Gross Margin AI-native 2026E</ns0:t>
        </ns0:is>
      </ns0:c>
      <ns0:c r="C35" s="43" t="inlineStr">
        <ns0:is>
          <ns0:t>≈ 53%</ns0:t>
        </ns0:is>
      </ns0:c>
      <ns0:c r="D35" s="43" t="inlineStr">
        <ns0:is>
          <ns0:t>%</ns0:t>
        </ns0:is>
      </ns0:c>
      <ns0:c r="E35" s="44" t="inlineStr">
        <ns0:is>
          <ns0:t>ICONIQ, 2026 State of AI: The Builder's Economy (07/2026)</ns0:t>
        </ns0:is>
      </ns0:c>
    </ns0:row>
    <ns0:row r="36" ht="15.75" customHeight="1" s="45">
      <ns0:c r="A36" s="43" t="inlineStr">
        <ns0:is>
          <ns0:t>Benchmark</ns0:t>
        </ns0:is>
      </ns0:c>
      <ns0:c r="B36" s="43" t="inlineStr">
        <ns0:is>
          <ns0:t>Gross Margin cloud (middle 50%)</ns0:t>
        </ns0:is>
      </ns0:c>
      <ns0:c r="C36" s="43" t="inlineStr">
        <ns0:is>
          <ns0:t>60 – 80%</ns0:t>
        </ns0:is>
      </ns0:c>
      <ns0:c r="D36" s="43" t="inlineStr">
        <ns0:is>
          <ns0:t>%</ns0:t>
        </ns0:is>
      </ns0:c>
      <ns0:c r="E36" s="44" t="inlineStr">
        <ns0:is>
          <ns0:t>Bessemer, Scaling to $100 Million (2024)</ns0:t>
        </ns0:is>
      </ns0:c>
    </ns0:row>
    <ns0:row r="37" ht="15.75" customHeight="1" s="45">
      <ns0:c r="A37" s="43" t="inlineStr">
        <ns0:is>
          <ns0:t>Benchmark</ns0:t>
        </ns0:is>
      </ns0:c>
      <ns0:c r="B37" s="43" t="inlineStr">
        <ns0:is>
          <ns0:t>Vertical AI — GM / model cost</ns0:t>
        </ns0:is>
      </ns0:c>
      <ns0:c r="C37" s="43" t="inlineStr">
        <ns0:is>
          <ns0:t>≈65% / ≈10% doanh thu</ns0:t>
        </ns0:is>
      </ns0:c>
      <ns0:c r="D37" s="43" t="inlineStr">
        <ns0:is>
          <ns0:t>%</ns0:t>
        </ns0:is>
      </ns0:c>
      <ns0:c r="E37" s="44" t="inlineStr">
        <ns0:is>
          <ns0:t>Bessemer, State of the Cloud 2024</ns0:t>
        </ns0:is>
      </ns0:c>
    </ns0:row>
    <ns0:row r="38" ht="15.75" customHeight="1" s="45">
      <ns0:c r="A38" s="43" t="inlineStr">
        <ns0:is>
          <ns0:t>Benchmark</ns0:t>
        </ns0:is>
      </ns0:c>
      <ns0:c r="B38" s="43" t="inlineStr">
        <ns0:is>
          <ns0:t>CAC payback SMB / Mid / Enterprise</ns0:t>
        </ns0:is>
      </ns0:c>
      <ns0:c r="C38" s="43" t="inlineStr">
        <ns0:is>
          <ns0:t>12 / 18 / 24</ns0:t>
        </ns0:is>
      </ns0:c>
      <ns0:c r="D38" s="43" t="inlineStr">
        <ns0:is>
          <ns0:t>tháng</ns0:t>
        </ns0:is>
      </ns0:c>
      <ns0:c r="E38" s="44" t="inlineStr">
        <ns0:is>
          <ns0:t>Bessemer, Scaling to $100 Million (2024)</ns0:t>
        </ns0:is>
      </ns0:c>
    </ns0:row>
    <ns0:row r="39" ht="15.75" customHeight="1" s="45">
      <ns0:c r="A39" s="43" t="inlineStr">
        <ns0:is>
          <ns0:t>Benchmark</ns0:t>
        </ns0:is>
      </ns0:c>
      <ns0:c r="B39" s="43" t="inlineStr">
        <ns0:is>
          <ns0:t>LTV : CAC</ns0:t>
        </ns0:is>
      </ns0:c>
      <ns0:c r="C39" s="43" t="inlineStr">
        <ns0:is>
          <ns0:t>≥ 3×</ns0:t>
        </ns0:is>
      </ns0:c>
      <ns0:c r="D39" s="43" t="inlineStr">
        <ns0:is>
          <ns0:t>lần</ns0:t>
        </ns0:is>
      </ns0:c>
      <ns0:c r="E39" s="44" t="inlineStr">
        <ns0:is>
          <ns0:t>David Skok, SaaS Metrics 2.0 (cập nhật 06/2026)</ns0:t>
        </ns0:is>
      </ns0:c>
    </ns0:row>
    <ns0:row r="40" ht="15.75" customHeight="1" s="45">
      <ns0:c r="A40" s="43" t="inlineStr">
        <ns0:is>
          <ns0:t>Benchmark</ns0:t>
        </ns0:is>
      </ns0:c>
      <ns0:c r="B40" s="43" t="inlineStr">
        <ns0:is>
          <ns0:t>Cost per opportunity 2026 (theo phân khúc)</ns0:t>
        </ns0:is>
      </ns0:c>
      <ns0:c r="C40" s="43" t="inlineStr">
        <ns0:is>
          <ns0:t>6.300 · 8.000 · 11.200</ns0:t>
        </ns0:is>
      </ns0:c>
      <ns0:c r="D40" s="43" t="inlineStr">
        <ns0:is>
          <ns0:t>$</ns0:t>
        </ns0:is>
      </ns0:c>
      <ns0:c r="E40" s="44" t="inlineStr">
        <ns0:is>
          <ns0:t>ICONIQ, State of GTM 2026 (tr.22)</ns0:t>
        </ns0:is>
      </ns0:c>
    </ns0:row>
    <ns0:row r="41" ht="15.75" customHeight="1" s="45">
      <ns0:c r="A41" s="43" t="inlineStr">
        <ns0:is>
          <ns0:t>Benchmark</ns0:t>
        </ns0:is>
      </ns0:c>
      <ns0:c r="B41" s="43" t="inlineStr">
        <ns0:is>
          <ns0:t>ACV sàn cho inside sales</ns0:t>
        </ns0:is>
      </ns0:c>
      <ns0:c r="C41" s="43" t="inlineStr">
        <ns0:is>
          <ns0:t>≈ 3.000</ns0:t>
        </ns0:is>
      </ns0:c>
      <ns0:c r="D41" s="43" t="inlineStr">
        <ns0:is>
          <ns0:t>$ / năm</ns0:t>
        </ns0:is>
      </ns0:c>
      <ns0:c r="E41" s="44" t="inlineStr">
        <ns0:is>
          <ns0:t>Tomasz Tunguz (2016) — có kèm giả định để tính lại</ns0:t>
        </ns0:is>
      </ns0:c>
    </ns0:row>
    <ns0:row r="42" ht="15.75" customHeight="1" s="45"/>
    <ns0:row r="43" ht="15.75" customHeight="1" s="45">
      <ns0:c r="A43" s="17" t="inlineStr">
        <ns0:is>
          <ns0:t>Lưu ý: trang marketing của nhà cung cấp có thể hiển thị giá cũ hơn trang docs. Ưu tiên trang docs / pricing chính thức.</ns0:t>
        </ns0:is>
      </ns0:c>
    </ns0:row>
    <ns0:row r="44" ht="15.75" customHeight="1" s="45"/>
    <ns0:row r="45" ht="15.75" customHeight="1" s="45"/>
    <ns0:row r="46" ht="15.75" customHeight="1" s="45"/>
    <ns0:row r="47" ht="15.75" customHeight="1" s="45"/>
    <ns0:row r="48" ht="15.75" customHeight="1" s="45"/>
    <ns0:row r="49" ht="15.75" customHeight="1" s="45"/>
    <ns0:row r="50" ht="15.75" customHeight="1" s="45"/>
    <ns0:row r="51" ht="15.75" customHeight="1" s="45"/>
    <ns0:row r="52" ht="15.75" customHeight="1" s="45"/>
    <ns0:row r="53" ht="15.75" customHeight="1" s="45"/>
    <ns0:row r="54" ht="15.75" customHeight="1" s="45"/>
    <ns0:row r="55" ht="15.75" customHeight="1" s="45"/>
    <ns0:row r="56" ht="15.75" customHeight="1" s="45"/>
    <ns0:row r="57" ht="15.75" customHeight="1" s="45"/>
    <ns0:row r="58" ht="15.75" customHeight="1" s="45"/>
    <ns0:row r="59" ht="15.75" customHeight="1" s="45"/>
    <ns0:row r="60" ht="15.75" customHeight="1" s="45"/>
    <ns0:row r="61" ht="15.75" customHeight="1" s="45"/>
    <ns0:row r="62" ht="15.75" customHeight="1" s="45"/>
    <ns0:row r="63" ht="15.75" customHeight="1" s="45"/>
    <ns0:row r="64" ht="15.75" customHeight="1" s="45"/>
    <ns0:row r="65" ht="15.75" customHeight="1" s="45"/>
    <ns0:row r="66" ht="15.75" customHeight="1" s="45"/>
    <ns0:row r="67" ht="15.75" customHeight="1" s="45"/>
    <ns0:row r="68" ht="15.75" customHeight="1" s="45"/>
    <ns0:row r="69" ht="15.75" customHeight="1" s="45"/>
    <ns0:row r="70" ht="15.75" customHeight="1" s="45"/>
    <ns0:row r="71" ht="15.75" customHeight="1" s="45"/>
    <ns0:row r="72" ht="15.75" customHeight="1" s="45"/>
    <ns0:row r="73" ht="15.75" customHeight="1" s="45"/>
    <ns0:row r="74" ht="15.75" customHeight="1" s="45"/>
    <ns0:row r="75" ht="15.75" customHeight="1" s="45"/>
    <ns0:row r="76" ht="15.75" customHeight="1" s="45"/>
    <ns0:row r="77" ht="15.75" customHeight="1" s="45"/>
    <ns0:row r="78" ht="15.75" customHeight="1" s="45"/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pageMargins left="0.75" right="0.75" top="1" bottom="1" header="0" footer="0"/>
  <ns0:pageSetup orientation="portrait" paperSize="9"/>
  <ns0:legacyDrawing ns1:id="anysvml"/>
</ns0:worksheet>
</file>

<file path=xl/worksheets/sheet8.xml><?xml version="1.0" encoding="utf-8"?>
<ns0:worksheet xmlns:ns0="http://schemas.openxmlformats.org/spreadsheetml/2006/main">
  <ns0:sheetPr>
    <ns0:outlinePr summaryBelow="1" summaryRight="1"/>
    <ns0:pageSetUpPr fitToPage="1"/>
  </ns0:sheetPr>
  <ns0:dimension ref="A1:F78"/>
  <ns0:sheetViews>
    <ns0:sheetView zoomScale="85" workbookViewId="0">
      <ns0:pane xSplit="2" ySplit="3" topLeftCell="C4" activePane="bottomRight" state="frozen"/>
      <ns0:selection pane="topRight"/>
      <ns0:selection pane="bottomLeft"/>
      <ns0:selection pane="bottomRight" activeCell="A1" sqref="A1"/>
    </ns0:sheetView>
  </ns0:sheetViews>
  <ns0:sheetFormatPr baseColWidth="8" defaultRowHeight="15"/>
  <ns0:cols>
    <ns0:col width="30" customWidth="1" style="45" min="1" max="1"/>
    <ns0:col width="48" customWidth="1" style="45" min="2" max="2"/>
    <ns0:col width="20" customWidth="1" style="45" min="3" max="3"/>
    <ns0:col width="24" customWidth="1" style="45" min="4" max="4"/>
    <ns0:col width="70" customWidth="1" style="45" min="5" max="5"/>
    <ns0:col width="70" customWidth="1" style="45" min="6" max="6"/>
  </ns0:cols>
  <ns0:sheetData>
    <ns0:row r="1">
      <ns0:c r="A1" s="54" t="inlineStr">
        <ns0:is>
          <ns0:t>DAY22 — DEVPULSE: ASSUMPTIONS &amp; TRACEABILITY</ns0:t>
        </ns0:is>
      </ns0:c>
      <ns0:c r="B1" s="54" t="n"/>
      <ns0:c r="C1" s="54" t="n"/>
      <ns0:c r="D1" s="54" t="n"/>
      <ns0:c r="E1" s="54" t="n"/>
      <ns0:c r="F1" s="54" t="n"/>
    </ns0:row>
    <ns0:row r="2">
      <ns0:c r="A2" s="54" t="inlineStr">
        <ns0:is>
          <ns0:t>Giả định vận hành ≠ eval thực đo. Các tab gốc giữ nguyên giá trị ngoài ô vàng.</ns0:t>
        </ns0:is>
      </ns0:c>
      <ns0:c r="B2" s="54" t="n"/>
      <ns0:c r="C2" s="54" t="n"/>
      <ns0:c r="D2" s="54" t="n"/>
      <ns0:c r="E2" s="54" t="n"/>
      <ns0:c r="F2" s="54" t="n"/>
    </ns0:row>
    <ns0:row r="3">
      <ns0:c r="A3" s="54" t="inlineStr">
        <ns0:is>
          <ns0:t>Key</ns0:t>
        </ns0:is>
      </ns0:c>
      <ns0:c r="B3" s="54" t="inlineStr">
        <ns0:is>
          <ns0:t>Value</ns0:t>
        </ns0:is>
      </ns0:c>
      <ns0:c r="C3" s="54" t="inlineStr">
        <ns0:is>
          <ns0:t>Unit</ns0:t>
        </ns0:is>
      </ns0:c>
      <ns0:c r="D3" s="54" t="inlineStr">
        <ns0:is>
          <ns0:t>Evidence status</ns0:t>
        </ns0:is>
      </ns0:c>
      <ns0:c r="E3" s="54" t="inlineStr">
        <ns0:is>
          <ns0:t>Rationale / verification</ns0:t>
        </ns0:is>
      </ns0:c>
      <ns0:c r="F3" s="54" t="inlineStr">
        <ns0:is>
          <ns0:t>Source</ns0:t>
        </ns0:is>
      </ns0:c>
    </ns0:row>
    <ns0:row r="4" ht="48" customHeight="1" s="45">
      <ns0:c r="A4" s="54" t="inlineStr">
        <ns0:is>
          <ns0:t>Product</ns0:t>
        </ns0:is>
      </ns0:c>
      <ns0:c r="B4" s="55" t="inlineStr">
        <ns0:is>
          <ns0:t>DevPulse AI</ns0:t>
        </ns0:is>
      </ns0:c>
      <ns0:c r="C4" s="54" t="inlineStr">
        <ns0:is>
          <ns0:t>text</ns0:t>
        </ns0:is>
      </ns0:c>
      <ns0:c r="D4" s="54" t="inlineStr">
        <ns0:is>
          <ns0:t>Day20 specification</ns0:t>
        </ns0:is>
      </ns0:c>
      <ns0:c r="E4" s="54" t="inlineStr">
        <ns0:is>
          <ns0:t>CTO engineering and AI-cost reporting</ns0:t>
        </ns0:is>
      </ns0:c>
      <ns0:c r="F4" s="54" t="inlineStr">
        <ns0:is>
          <ns0:t>data/day20-metrics-pack.md</ns0:t>
        </ns0:is>
      </ns0:c>
    </ns0:row>
    <ns0:row r="5" ht="48" customHeight="1" s="45">
      <ns0:c r="A5" s="54" t="inlineStr">
        <ns0:is>
          <ns0:t>ICP minimum developers</ns0:t>
        </ns0:is>
      </ns0:c>
      <ns0:c r="B5" s="55" t="n">
        <ns0:v>20</ns0:v>
      </ns0:c>
      <ns0:c r="C5" s="54" t="inlineStr">
        <ns0:is>
          <ns0:t>developers</ns0:t>
        </ns0:is>
      </ns0:c>
      <ns0:c r="D5" s="54" t="inlineStr">
        <ns0:is>
          <ns0:t>hypothesis</ns0:t>
        </ns0:is>
      </ns0:c>
      <ns0:c r="E5" s="54" t="inlineStr">
        <ns0:is>
          <ns0:t>Narrow growth-team ICP; validate interviews</ns0:t>
        </ns0:is>
      </ns0:c>
      <ns0:c r="F5" s="54" t="inlineStr">
        <ns0:is>
          <ns0:t>Day20 segments</ns0:t>
        </ns0:is>
      </ns0:c>
    </ns0:row>
    <ns0:row r="6" ht="48" customHeight="1" s="45">
      <ns0:c r="A6" s="54" t="inlineStr">
        <ns0:is>
          <ns0:t>ICP maximum developers</ns0:t>
        </ns0:is>
      </ns0:c>
      <ns0:c r="B6" s="55" t="n">
        <ns0:v>50</ns0:v>
      </ns0:c>
      <ns0:c r="C6" s="54" t="inlineStr">
        <ns0:is>
          <ns0:t>developers</ns0:t>
        </ns0:is>
      </ns0:c>
      <ns0:c r="D6" s="54" t="inlineStr">
        <ns0:is>
          <ns0:t>hypothesis</ns0:t>
        </ns0:is>
      </ns0:c>
      <ns0:c r="E6" s="54" t="inlineStr">
        <ns0:is>
          <ns0:t>Do not claim validated market</ns0:t>
        </ns0:is>
      </ns0:c>
      <ns0:c r="F6" s="54" t="inlineStr">
        <ns0:is>
          <ns0:t>Day20 segments</ns0:t>
        </ns0:is>
      </ns0:c>
    </ns0:row>
    <ns0:row r="7" ht="48" customHeight="1" s="45">
      <ns0:c r="A7" s="54" t="inlineStr">
        <ns0:is>
          <ns0:t>Budget owner</ns0:t>
        </ns0:is>
      </ns0:c>
      <ns0:c r="B7" s="55" t="inlineStr">
        <ns0:is>
          <ns0:t>CTO; CEO/CFO per approval limit</ns0:t>
        </ns0:is>
      </ns0:c>
      <ns0:c r="C7" s="54" t="inlineStr">
        <ns0:is>
          <ns0:t>text</ns0:t>
        </ns0:is>
      </ns0:c>
      <ns0:c r="D7" s="54" t="inlineStr">
        <ns0:is>
          <ns0:t>hypothesis</ns0:t>
        </ns0:is>
      </ns0:c>
      <ns0:c r="E7" s="54" t="inlineStr">
        <ns0:is>
          <ns0:t>Pilot confirms actual signer</ns0:t>
        </ns0:is>
      </ns0:c>
      <ns0:c r="F7" s="54" t="inlineStr">
        <ns0:is>
          <ns0:t>docs/checkpoints/01-budget-job.md</ns0:t>
        </ns0:is>
      </ns0:c>
    </ns0:row>
    <ns0:row r="8" ht="48" customHeight="1" s="45">
      <ns0:c r="A8" s="54" t="inlineStr">
        <ns0:is>
          <ns0:t>Budget line</ns0:t>
        </ns0:is>
      </ns0:c>
      <ns0:c r="B8" s="55" t="inlineStr">
        <ns0:is>
          <ns0:t>Engineering Operations / Reporting</ns0:t>
        </ns0:is>
      </ns0:c>
      <ns0:c r="C8" s="54" t="inlineStr">
        <ns0:is>
          <ns0:t>text</ns0:t>
        </ns0:is>
      </ns0:c>
      <ns0:c r="D8" s="54" t="inlineStr">
        <ns0:is>
          <ns0:t>hypothesis</ns0:t>
        </ns0:is>
      </ns0:c>
      <ns0:c r="E8" s="54" t="inlineStr">
        <ns0:is>
          <ns0:t>Time spent consolidating reporting</ns0:t>
        </ns0:is>
      </ns0:c>
      <ns0:c r="F8" s="54" t="inlineStr">
        <ns0:is>
          <ns0:t>docs/checkpoints/01-budget-job.md</ns0:t>
        </ns0:is>
      </ns0:c>
    </ns0:row>
    <ns0:row r="9" ht="48" customHeight="1" s="45">
      <ns0:c r="A9" s="54" t="inlineStr">
        <ns0:is>
          <ns0:t>Positioning</ns0:t>
        </ns0:is>
      </ns0:c>
      <ns0:c r="B9" s="55" t="inlineStr">
        <ns0:is>
          <ns0:t>Chuẩn bị báo cáo Sprint/tháng có nguồn để CTO giải trình delivery và chi phí AI.</ns0:t>
        </ns0:is>
      </ns0:c>
      <ns0:c r="C9" s="54" t="inlineStr">
        <ns0:is>
          <ns0:t>text</ns0:t>
        </ns0:is>
      </ns0:c>
      <ns0:c r="D9" s="54" t="inlineStr">
        <ns0:is>
          <ns0:t>design</ns0:t>
        </ns0:is>
      </ns0:c>
      <ns0:c r="E9" s="54" t="inlineStr">
        <ns0:is>
          <ns0:t>Not causal ROI outcome</ns0:t>
        </ns0:is>
      </ns0:c>
      <ns0:c r="F9" s="54" t="inlineStr">
        <ns0:is>
          <ns0:t>Day20</ns0:t>
        </ns0:is>
      </ns0:c>
    </ns0:row>
    <ns0:row r="10" ht="48" customHeight="1" s="45">
      <ns0:c r="A10" s="54" t="inlineStr">
        <ns0:is>
          <ns0:t>Workspace base fee</ns0:t>
        </ns0:is>
      </ns0:c>
      <ns0:c r="B10" s="55" t="n">
        <ns0:v>39</ns0:v>
      </ns0:c>
      <ns0:c r="C10" s="54" t="inlineStr">
        <ns0:is>
          <ns0:t>USD/workspace/month</ns0:t>
        </ns0:is>
      </ns0:c>
      <ns0:c r="D10" s="54" t="inlineStr">
        <ns0:is>
          <ns0:t>pricing hypothesis</ns0:t>
        </ns0:is>
      </ns0:c>
      <ns0:c r="E10" s="54" t="inlineStr">
        <ns0:is>
          <ns0:t>Connections, history, standard support; zero included reports</ns0:t>
        </ns0:is>
      </ns0:c>
      <ns0:c r="F10" s="54" t="inlineStr">
        <ns0:is>
          <ns0:t>Decision Note</ns0:t>
        </ns0:is>
      </ns0:c>
    </ns0:row>
    <ns0:row r="11" ht="48" customHeight="1" s="45">
      <ns0:c r="A11" s="54" t="inlineStr">
        <ns0:is>
          <ns0:t>Reports/customer/month</ns0:t>
        </ns0:is>
      </ns0:c>
      <ns0:c r="B11" s="56">
        <ns0:f>'2_Pricing'!B11</ns0:f>
        <ns0:v>3</ns0:v>
      </ns0:c>
      <ns0:c r="C11" s="54" t="inlineStr">
        <ns0:is>
          <ns0:t>reports</ns0:t>
        </ns0:is>
      </ns0:c>
      <ns0:c r="D11" s="54" t="inlineStr">
        <ns0:is>
          <ns0:t>planning</ns0:t>
        </ns0:is>
      </ns0:c>
      <ns0:c r="E11" s="54" t="inlineStr">
        <ns0:is>
          <ns0:t>2 sprint + 1 board report; average delivered</ns0:t>
        </ns0:is>
      </ns0:c>
      <ns0:c r="F11" s="54" t="inlineStr">
        <ns0:is>
          <ns0:t>Day20 cadence</ns0:t>
        </ns0:is>
      </ns0:c>
    </ns0:row>
    <ns0:row r="12" ht="48" customHeight="1" s="45">
      <ns0:c r="A12" s="54" t="inlineStr">
        <ns0:is>
          <ns0:t>Planning workspaces</ns0:t>
        </ns0:is>
      </ns0:c>
      <ns0:c r="B12" s="55" t="n">
        <ns0:v>10</ns0:v>
      </ns0:c>
      <ns0:c r="C12" s="54" t="inlineStr">
        <ns0:is>
          <ns0:t>workspaces</ns0:t>
        </ns0:is>
      </ns0:c>
      <ns0:c r="D12" s="54" t="inlineStr">
        <ns0:is>
          <ns0:t>hypothesis</ns0:t>
        </ns0:is>
      </ns0:c>
      <ns0:c r="E12" s="54" t="inlineStr">
        <ns0:is>
          <ns0:t>Target steady planning cohort, not current users</ns0:t>
        </ns0:is>
      </ns0:c>
      <ns0:c r="F12" s="54" t="inlineStr">
        <ns0:is>
          <ns0:t>90-day plan</ns0:t>
        </ns0:is>
      </ns0:c>
    </ns0:row>
    <ns0:row r="13" ht="48" customHeight="1" s="45">
      <ns0:c r="A13" s="54" t="inlineStr">
        <ns0:is>
          <ns0:t>Attempts/workspace/month</ns0:t>
        </ns0:is>
      </ns0:c>
      <ns0:c r="B13" s="56">
        <ns0:f>'1_Cost_Job'!B9/B12</ns0:f>
        <ns0:v>4</ns0:v>
      </ns0:c>
      <ns0:c r="C13" s="54" t="inlineStr">
        <ns0:is>
          <ns0:t>attempts</ns0:t>
        </ns0:is>
      </ns0:c>
      <ns0:c r="D13" s="54" t="inlineStr">
        <ns0:is>
          <ns0:t>derived</ns0:t>
        </ns0:is>
      </ns0:c>
      <ns0:c r="E13" s="54" t="inlineStr">
        <ns0:is>
          <ns0:t>40 attempts allocated to 10 workspaces</ns0:t>
        </ns0:is>
      </ns0:c>
      <ns0:c r="F13" s="54" t="inlineStr">
        <ns0:is>
          <ns0:t>1_Cost_Job!B9</ns0:t>
        </ns0:is>
      </ns0:c>
    </ns0:row>
    <ns0:row r="14" ht="48" customHeight="1" s="45">
      <ns0:c r="A14" s="54" t="inlineStr">
        <ns0:is>
          <ns0:t>Data coverage gate</ns0:t>
        </ns0:is>
      </ns0:c>
      <ns0:c r="B14" s="55" t="n">
        <ns0:v>0.8</ns0:v>
      </ns0:c>
      <ns0:c r="C14" s="54" t="inlineStr">
        <ns0:is>
          <ns0:t>fraction</ns0:t>
        </ns0:is>
      </ns0:c>
      <ns0:c r="D14" s="54" t="inlineStr">
        <ns0:is>
          <ns0:t>design</ns0:t>
        </ns0:is>
      </ns0:c>
      <ns0:c r="E14" s="54" t="inlineStr">
        <ns0:is>
          <ns0:t>Coverage of active developers; suppress report if missing ledger</ns0:t>
        </ns0:is>
      </ns0:c>
      <ns0:c r="F14" s="54" t="inlineStr">
        <ns0:is>
          <ns0:t>Day20 NSM</ns0:t>
        </ns0:is>
      </ns0:c>
    </ns0:row>
    <ns0:row r="15" ht="48" customHeight="1" s="45">
      <ns0:c r="A15" s="54" t="inlineStr">
        <ns0:is>
          <ns0:t>Internal QA sample</ns0:t>
        </ns0:is>
      </ns0:c>
      <ns0:c r="B15" s="56">
        <ns0:f>'1_Cost_Job'!B51</ns0:f>
        <ns0:v>0.25</ns0:v>
      </ns0:c>
      <ns0:c r="C15" s="54" t="inlineStr">
        <ns0:is>
          <ns0:t>fraction</ns0:t>
        </ns0:is>
      </ns0:c>
      <ns0:c r="D15" s="54" t="inlineStr">
        <ns0:is>
          <ns0:t>hypothesis</ns0:t>
        </ns0:is>
      </ns0:c>
      <ns0:c r="E15" s="54" t="inlineStr">
        <ns0:is>
          <ns0:t>25% sample while early; customer final review every report</ns0:t>
        </ns0:is>
      </ns0:c>
      <ns0:c r="F15" s="54" t="inlineStr">
        <ns0:is>
          <ns0:t>1_Cost_Job!B51</ns0:t>
        </ns0:is>
      </ns0:c>
    </ns0:row>
    <ns0:row r="16" ht="48" customHeight="1" s="45">
      <ns0:c r="A16" s="54" t="inlineStr">
        <ns0:is>
          <ns0:t>Customer review minutes</ns0:t>
        </ns0:is>
      </ns0:c>
      <ns0:c r="B16" s="55" t="n">
        <ns0:v>30</ns0:v>
      </ns0:c>
      <ns0:c r="C16" s="54" t="inlineStr">
        <ns0:is>
          <ns0:t>minutes/report</ns0:t>
        </ns0:is>
      </ns0:c>
      <ns0:c r="D16" s="54" t="inlineStr">
        <ns0:is>
          <ns0:t>Day20 specification</ns0:t>
        </ns0:is>
      </ns0:c>
      <ns0:c r="E16" s="54" t="inlineStr">
        <ns0:is>
          <ns0:t>Not replaced by AI; cost borne by customer</ns0:t>
        </ns0:is>
      </ns0:c>
      <ns0:c r="F16" s="54" t="inlineStr">
        <ns0:is>
          <ns0:t>Day20 action effort 15–30min</ns0:t>
        </ns0:is>
      </ns0:c>
    </ns0:row>
    <ns0:row r="17" ht="48" customHeight="1" s="45">
      <ns0:c r="A17" s="54" t="inlineStr">
        <ns0:is>
          <ns0:t>Net preparation hours saved/report</ns0:t>
        </ns0:is>
      </ns0:c>
      <ns0:c r="B17" s="55" t="n">
        <ns0:v>10</ns0:v>
      </ns0:c>
      <ns0:c r="C17" s="54" t="inlineStr">
        <ns0:is>
          <ns0:t>hours</ns0:t>
        </ns0:is>
      </ns0:c>
      <ns0:c r="D17" s="54" t="inlineStr">
        <ns0:is>
          <ns0:t>hypothesis</ns0:t>
        </ns0:is>
      </ns0:c>
      <ns0:c r="E17" s="54" t="inlineStr">
        <ns0:is>
          <ns0:t>Excludes final CTO review; stopwatch before/after</ns0:t>
        </ns0:is>
      </ns0:c>
      <ns0:c r="F17" s="54" t="inlineStr">
        <ns0:is>
          <ns0:t>Pilot Protocol</ns0:t>
        </ns0:is>
      </ns0:c>
    </ns0:row>
    <ns0:row r="18" ht="48" customHeight="1" s="45">
      <ns0:c r="A18" s="54" t="inlineStr">
        <ns0:is>
          <ns0:t>Customer preparation labor</ns0:t>
        </ns0:is>
      </ns0:c>
      <ns0:c r="B18" s="55" t="n">
        <ns0:v>40</ns0:v>
      </ns0:c>
      <ns0:c r="C18" s="54" t="inlineStr">
        <ns0:is>
          <ns0:t>USD/hour</ns0:t>
        </ns0:is>
      </ns0:c>
      <ns0:c r="D18" s="54" t="inlineStr">
        <ns0:is>
          <ns0:t>hypothesis</ns0:t>
        </ns0:is>
      </ns0:c>
      <ns0:c r="E18" s="54" t="inlineStr">
        <ns0:is>
          <ns0:t>Fully loaded lead/analyst time; no wage benchmark claim</ns0:t>
        </ns0:is>
      </ns0:c>
      <ns0:c r="F18" s="54" t="inlineStr">
        <ns0:is>
          <ns0:t>Pilot interview required</ns0:t>
        </ns0:is>
      </ns0:c>
    </ns0:row>
    <ns0:row r="19" ht="48" customHeight="1" s="45">
      <ns0:c r="A19" s="54" t="inlineStr">
        <ns0:is>
          <ns0:t>Monthly value anchor</ns0:t>
        </ns0:is>
      </ns0:c>
      <ns0:c r="B19" s="56">
        <ns0:f>B11*B17*B18</ns0:f>
        <ns0:v>1200</ns0:v>
      </ns0:c>
      <ns0:c r="C19" s="54" t="inlineStr">
        <ns0:is>
          <ns0:t>USD/month</ns0:t>
        </ns0:is>
      </ns0:c>
      <ns0:c r="D19" s="54" t="inlineStr">
        <ns0:is>
          <ns0:t>derived estimate</ns0:t>
        </ns0:is>
      </ns0:c>
      <ns0:c r="E19" s="54" t="inlineStr">
        <ns0:is>
          <ns0:t>No double-counting token or productivity savings</ns0:t>
        </ns0:is>
      </ns0:c>
      <ns0:c r="F19" s="54" t="inlineStr">
        <ns0:is>
          <ns0:t>2_Pricing!B10</ns0:t>
        </ns0:is>
      </ns0:c>
    </ns0:row>
    <ns0:row r="20" ht="48" customHeight="1" s="45">
      <ns0:c r="A20" s="54" t="inlineStr">
        <ns0:is>
          <ns0:t>Reporting role wage</ns0:t>
        </ns0:is>
      </ns0:c>
      <ns0:c r="B20" s="56">
        <ns0:f>'2_Pricing'!B14</ns0:f>
        <ns0:v>2000</ns0:v>
      </ns0:c>
      <ns0:c r="C20" s="54" t="inlineStr">
        <ns0:is>
          <ns0:t>USD/month</ns0:t>
        </ns0:is>
      </ns0:c>
      <ns0:c r="D20" s="54" t="inlineStr">
        <ns0:is>
          <ns0:t>hypothesis</ns0:t>
        </ns0:is>
      </ns0:c>
      <ns0:c r="E20" s="54" t="inlineStr">
        <ns0:is>
          <ns0:t>Secondary anchor only; no whole role replacement claim</ns0:t>
        </ns0:is>
      </ns0:c>
      <ns0:c r="F20" s="54" t="inlineStr">
        <ns0:is>
          <ns0:t>2_Pricing!B14</ns0:t>
        </ns0:is>
      </ns0:c>
    </ns0:row>
    <ns0:row r="21" ht="48" customHeight="1" s="45">
      <ns0:c r="A21" s="54" t="inlineStr">
        <ns0:is>
          <ns0:t>Monthly vendor COGS</ns0:t>
        </ns0:is>
      </ns0:c>
      <ns0:c r="B21" s="56">
        <ns0:f>'1_Cost_Job'!B62+'1_Cost_Job'!B63</ns0:f>
        <ns0:v>454.33728</ns0:v>
      </ns0:c>
      <ns0:c r="C21" s="54" t="inlineStr">
        <ns0:is>
          <ns0:t>USD/month</ns0:t>
        </ns0:is>
      </ns0:c>
      <ns0:c r="D21" s="54" t="inlineStr">
        <ns0:is>
          <ns0:t>derived</ns0:t>
        </ns0:is>
      </ns0:c>
      <ns0:c r="E21" s="54" t="inlineStr">
        <ns0:is>
          <ns0:t>All direct service costs</ns0:t>
        </ns0:is>
      </ns0:c>
      <ns0:c r="F21" s="54" t="inlineStr">
        <ns0:is>
          <ns0:t>1_Cost_Job</ns0:t>
        </ns0:is>
      </ns0:c>
    </ns0:row>
    <ns0:row r="22" ht="48" customHeight="1" s="45">
      <ns0:c r="A22" s="54" t="inlineStr">
        <ns0:is>
          <ns0:t>Monthly cohort revenue</ns0:t>
        </ns0:is>
      </ns0:c>
      <ns0:c r="B22" s="56">
        <ns0:f>B12*(B10+B11*'2_Pricing'!B19)</ns0:f>
        <ns0:v>2190</ns0:v>
      </ns0:c>
      <ns0:c r="C22" s="54" t="inlineStr">
        <ns0:is>
          <ns0:t>USD/month</ns0:t>
        </ns0:is>
      </ns0:c>
      <ns0:c r="D22" s="54" t="inlineStr">
        <ns0:is>
          <ns0:t>derived forecast</ns0:t>
        </ns0:is>
      </ns0:c>
      <ns0:c r="E22" s="54" t="inlineStr">
        <ns0:is>
          <ns0:t>Base is additional, no included-report double charge</ns0:t>
        </ns0:is>
      </ns0:c>
      <ns0:c r="F22" s="54" t="inlineStr">
        <ns0:is>
          <ns0:t>Hybrid pricing</ns0:t>
        </ns0:is>
      </ns0:c>
    </ns0:row>
    <ns0:row r="23" ht="48" customHeight="1" s="45">
      <ns0:c r="A23" s="54" t="inlineStr">
        <ns0:is>
          <ns0:t>Blended cohort GM</ns0:t>
        </ns0:is>
      </ns0:c>
      <ns0:c r="B23" s="56">
        <ns0:f>1-B21/B22</ns0:f>
        <ns0:v>0.792540054794521</ns0:v>
      </ns0:c>
      <ns0:c r="C23" s="54" t="inlineStr">
        <ns0:is>
          <ns0:t>fraction</ns0:t>
        </ns0:is>
      </ns0:c>
      <ns0:c r="D23" s="54" t="inlineStr">
        <ns0:is>
          <ns0:t>derived forecast</ns0:t>
        </ns0:is>
      </ns0:c>
      <ns0:c r="E23" s="54" t="inlineStr">
        <ns0:is>
          <ns0:t>COGS includes workspace service; show separately from report GM</ns0:t>
        </ns0:is>
      </ns0:c>
      <ns0:c r="F23" s="54" t="inlineStr">
        <ns0:is>
          <ns0:t>B21:B22</ns0:t>
        </ns0:is>
      </ns0:c>
    </ns0:row>
    <ns0:row r="24" ht="48" customHeight="1" s="45">
      <ns0:c r="A24" s="54" t="inlineStr">
        <ns0:is>
          <ns0:t>Fully loaded Cost/Job</ns0:t>
        </ns0:is>
      </ns0:c>
      <ns0:c r="B24" s="56">
        <ns0:f>'1_Cost_Job'!B67</ns0:f>
        <ns0:v>25.144576</ns0:v>
      </ns0:c>
      <ns0:c r="C24" s="54" t="inlineStr">
        <ns0:is>
          <ns0:t>USD/report</ns0:t>
        </ns0:is>
      </ns0:c>
      <ns0:c r="D24" s="54" t="inlineStr">
        <ns0:is>
          <ns0:t>derived</ns0:t>
        </ns0:is>
      </ns0:c>
      <ns0:c r="E24" s="54" t="inlineStr">
        <ns0:is>
          <ns0:t>Overhead not included in gross margin</ns0:t>
        </ns0:is>
      </ns0:c>
      <ns0:c r="F24" s="54" t="inlineStr">
        <ns0:is>
          <ns0:t>1_Cost_Job!B67</ns0:t>
        </ns0:is>
      </ns0:c>
    </ns0:row>
    <ns0:row r="25" ht="48" customHeight="1" s="45">
      <ns0:c r="A25" s="54" t="inlineStr">
        <ns0:is>
          <ns0:t>ARPU</ns0:t>
        </ns0:is>
      </ns0:c>
      <ns0:c r="B25" s="56">
        <ns0:f>B10+B11*'2_Pricing'!B19</ns0:f>
        <ns0:v>219</ns0:v>
      </ns0:c>
      <ns0:c r="C25" s="54" t="inlineStr">
        <ns0:is>
          <ns0:t>USD/month</ns0:t>
        </ns0:is>
      </ns0:c>
      <ns0:c r="D25" s="54" t="inlineStr">
        <ns0:is>
          <ns0:t>derived forecast</ns0:t>
        </ns0:is>
      </ns0:c>
      <ns0:c r="E25" s="54" t="inlineStr">
        <ns0:is>
          <ns0:t>39 base + 3×60 reports</ns0:t>
        </ns0:is>
      </ns0:c>
      <ns0:c r="F25" s="54" t="inlineStr">
        <ns0:is>
          <ns0:t>B10:B11</ns0:t>
        </ns0:is>
      </ns0:c>
    </ns0:row>
    <ns0:row r="26" ht="48" customHeight="1" s="45">
      <ns0:c r="A26" s="54" t="inlineStr">
        <ns0:is>
          <ns0:t>Conservative channel GM</ns0:t>
        </ns0:is>
      </ns0:c>
      <ns0:c r="B26" s="56">
        <ns0:f>'2_Pricing'!B21</ns0:f>
        <ns0:v>0.7475904</ns0:v>
      </ns0:c>
      <ns0:c r="C26" s="54" t="inlineStr">
        <ns0:is>
          <ns0:t>fraction</ns0:t>
        </ns0:is>
      </ns0:c>
      <ns0:c r="D26" s="54" t="inlineStr">
        <ns0:is>
          <ns0:t>derived</ns0:t>
        </ns0:is>
      </ns0:c>
      <ns0:c r="E26" s="54" t="inlineStr">
        <ns0:is>
          <ns0:t>Use report GM, lower than blended; conservative CAC cap</ns0:t>
        </ns0:is>
      </ns0:c>
      <ns0:c r="F26" s="54" t="inlineStr">
        <ns0:is>
          <ns0:t>2_Pricing!B21</ns0:t>
        </ns0:is>
      </ns0:c>
    </ns0:row>
    <ns0:row r="27" ht="48" customHeight="1" s="45">
      <ns0:c r="A27" s="54" t="inlineStr">
        <ns0:is>
          <ns0:t>CAC budget</ns0:t>
        </ns0:is>
      </ns0:c>
      <ns0:c r="B27" s="56">
        <ns0:f>'4_Channel_Fit'!B9</ns0:f>
        <ns0:v>1964.6675712</ns0:v>
      </ns0:c>
      <ns0:c r="C27" s="54" t="inlineStr">
        <ns0:is>
          <ns0:t>USD/customer</ns0:t>
        </ns0:is>
      </ns0:c>
      <ns0:c r="D27" s="54" t="inlineStr">
        <ns0:is>
          <ns0:t>derived</ns0:t>
        </ns0:is>
      </ns0:c>
      <ns0:c r="E27" s="54" t="inlineStr">
        <ns0:is>
          <ns0:t>SMB 12-month ceiling is lab convention, not proved retention</ns0:t>
        </ns0:is>
      </ns0:c>
      <ns0:c r="F27" s="54" t="inlineStr">
        <ns0:is>
          <ns0:t>4_Channel_Fit!B9</ns0:t>
        </ns0:is>
      </ns0:c>
    </ns0:row>
    <ns0:row r="28" ht="48" customHeight="1" s="45">
      <ns0:c r="A28" s="54" t="inlineStr">
        <ns0:is>
          <ns0:t>PLG acquisition spend</ns0:t>
        </ns0:is>
      </ns0:c>
      <ns0:c r="B28" s="55" t="n">
        <ns0:v>1200</ns0:v>
      </ns0:c>
      <ns0:c r="C28" s="54" t="inlineStr">
        <ns0:is>
          <ns0:t>USD/90days</ns0:t>
        </ns0:is>
      </ns0:c>
      <ns0:c r="D28" s="54" t="inlineStr">
        <ns0:is>
          <ns0:t>hypothesis</ns0:t>
        </ns0:is>
      </ns0:c>
      <ns0:c r="E28" s="54" t="inlineStr">
        <ns0:is>
          <ns0:t>$800 founder content (40h×$20) + $200 content tools + $200 placement</ns0:t>
        </ns0:is>
      </ns0:c>
      <ns0:c r="F28" s="54" t="inlineStr">
        <ns0:is>
          <ns0:t>No actual spend</ns0:t>
        </ns0:is>
      </ns0:c>
    </ns0:row>
    <ns0:row r="29" ht="48" customHeight="1" s="45">
      <ns0:c r="A29" s="54" t="inlineStr">
        <ns0:is>
          <ns0:t>GitHub App installs</ns0:t>
        </ns0:is>
      </ns0:c>
      <ns0:c r="B29" s="55" t="n">
        <ns0:v>60</ns0:v>
      </ns0:c>
      <ns0:c r="C29" s="54" t="inlineStr">
        <ns0:is>
          <ns0:t>installs/90days</ns0:t>
        </ns0:is>
      </ns0:c>
      <ns0:c r="D29" s="54" t="inlineStr">
        <ns0:is>
          <ns0:t>target</ns0:t>
        </ns0:is>
      </ns0:c>
      <ns0:c r="E29" s="54" t="inlineStr">
        <ns0:is>
          <ns0:t>Qualified org installations, not pageviews</ns0:t>
        </ns0:is>
      </ns0:c>
      <ns0:c r="F29" s="54" t="inlineStr">
        <ns0:is>
          <ns0:t>No actual installs</ns0:t>
        </ns0:is>
      </ns0:c>
    </ns0:row>
    <ns0:row r="30" ht="48" customHeight="1" s="45">
      <ns0:c r="A30" s="54" t="inlineStr">
        <ns0:is>
          <ns0:t>Activation rate</ns0:t>
        </ns0:is>
      </ns0:c>
      <ns0:c r="B30" s="55" t="n">
        <ns0:v>0.2</ns0:v>
      </ns0:c>
      <ns0:c r="C30" s="54" t="inlineStr">
        <ns0:is>
          <ns0:t>fraction</ns0:t>
        </ns0:is>
      </ns0:c>
      <ns0:c r="D30" s="54" t="inlineStr">
        <ns0:is>
          <ns0:t>hypothesis</ns0:t>
        </ns0:is>
      </ns0:c>
      <ns0:c r="E30" s="54" t="inlineStr">
        <ns0:is>
          <ns0:t>First AI-ready report within 14 days</ns0:t>
        </ns0:is>
      </ns0:c>
      <ns0:c r="F30" s="54" t="inlineStr">
        <ns0:is>
          <ns0:t>Pilot funnel</ns0:t>
        </ns0:is>
      </ns0:c>
    </ns0:row>
    <ns0:row r="31" ht="48" customHeight="1" s="45">
      <ns0:c r="A31" s="54" t="inlineStr">
        <ns0:is>
          <ns0:t>Activation to paid</ns0:t>
        </ns0:is>
      </ns0:c>
      <ns0:c r="B31" s="55" t="n">
        <ns0:v>0.25</ns0:v>
      </ns0:c>
      <ns0:c r="C31" s="54" t="inlineStr">
        <ns0:is>
          <ns0:t>fraction</ns0:t>
        </ns0:is>
      </ns0:c>
      <ns0:c r="D31" s="54" t="inlineStr">
        <ns0:is>
          <ns0:t>hypothesis</ns0:t>
        </ns0:is>
      </ns0:c>
      <ns0:c r="E31" s="54" t="inlineStr">
        <ns0:is>
          <ns0:t>3 paid from 12 activated</ns0:t>
        </ns0:is>
      </ns0:c>
      <ns0:c r="F31" s="54" t="inlineStr">
        <ns0:is>
          <ns0:t>Pilot funnel</ns0:t>
        </ns0:is>
      </ns0:c>
    </ns0:row>
    <ns0:row r="32" ht="48" customHeight="1" s="45">
      <ns0:c r="A32" s="54" t="inlineStr">
        <ns0:is>
          <ns0:t>PLG paid customers</ns0:t>
        </ns0:is>
      </ns0:c>
      <ns0:c r="B32" s="56">
        <ns0:f>B29*B30*B31</ns0:f>
        <ns0:v>3</ns0:v>
      </ns0:c>
      <ns0:c r="C32" s="54" t="inlineStr">
        <ns0:is>
          <ns0:t>customers</ns0:t>
        </ns0:is>
      </ns0:c>
      <ns0:c r="D32" s="54" t="inlineStr">
        <ns0:is>
          <ns0:t>derived target</ns0:t>
        </ns0:is>
      </ns0:c>
      <ns0:c r="E32" s="54" t="inlineStr">
        <ns0:is>
          <ns0:t>No sales rep or partner commission</ns0:t>
        </ns0:is>
      </ns0:c>
      <ns0:c r="F32" s="54" t="inlineStr">
        <ns0:is>
          <ns0:t>B29:B31</ns0:t>
        </ns0:is>
      </ns0:c>
    </ns0:row>
    <ns0:row r="33" ht="48" customHeight="1" s="45">
      <ns0:c r="A33" s="54" t="inlineStr">
        <ns0:is>
          <ns0:t>PLG CAC</ns0:t>
        </ns0:is>
      </ns0:c>
      <ns0:c r="B33" s="56">
        <ns0:f>B28/B32</ns0:f>
        <ns0:v>400</ns0:v>
      </ns0:c>
      <ns0:c r="C33" s="54" t="inlineStr">
        <ns0:is>
          <ns0:t>USD/customer</ns0:t>
        </ns0:is>
      </ns0:c>
      <ns0:c r="D33" s="54" t="inlineStr">
        <ns0:is>
          <ns0:t>derived estimate</ns0:t>
        </ns0:is>
      </ns0:c>
      <ns0:c r="E33" s="54" t="inlineStr">
        <ns0:is>
          <ns0:t>Includes founder time and free trial service allowance</ns0:t>
        </ns0:is>
      </ns0:c>
      <ns0:c r="F33" s="54" t="inlineStr">
        <ns0:is>
          <ns0:t>B28:B32</ns0:t>
        </ns0:is>
      </ns0:c>
    </ns0:row>
    <ns0:row r="34" ht="48" customHeight="1" s="45">
      <ns0:c r="A34" s="54" t="inlineStr">
        <ns0:is>
          <ns0:t>PLG payback months</ns0:t>
        </ns0:is>
      </ns0:c>
      <ns0:c r="B34" s="56">
        <ns0:f>B33/('4_Channel_Fit'!B5*'4_Channel_Fit'!B6)</ns0:f>
        <ns0:v>2.44316141334191</ns0:v>
      </ns0:c>
      <ns0:c r="C34" s="54" t="inlineStr">
        <ns0:is>
          <ns0:t>months</ns0:t>
        </ns0:is>
      </ns0:c>
      <ns0:c r="D34" s="54" t="inlineStr">
        <ns0:is>
          <ns0:t>derived estimate</ns0:t>
        </ns0:is>
      </ns0:c>
      <ns0:c r="E34" s="54" t="inlineStr">
        <ns0:is>
          <ns0:t>Use conservative report GM</ns0:t>
        </ns0:is>
      </ns0:c>
      <ns0:c r="F34" s="54" t="inlineStr">
        <ns0:is>
          <ns0:t>4_Channel_Fit!B5:B6</ns0:t>
        </ns0:is>
      </ns0:c>
    </ns0:row>
    <ns0:row r="35" ht="48" customHeight="1" s="45">
      <ns0:c r="A35" s="54" t="inlineStr">
        <ns0:is>
          <ns0:t>PLG operating CAC stop threshold</ns0:t>
        </ns0:is>
      </ns0:c>
      <ns0:c r="B35" s="55" t="n">
        <ns0:v>400</ns0:v>
      </ns0:c>
      <ns0:c r="C35" s="54" t="inlineStr">
        <ns0:is>
          <ns0:t>USD/customer</ns0:t>
        </ns0:is>
      </ns0:c>
      <ns0:c r="D35" s="54" t="inlineStr">
        <ns0:is>
          <ns0:t>decision hypothesis</ns0:t>
        </ns0:is>
      </ns0:c>
      <ns0:c r="E35" s="54" t="inlineStr">
        <ns0:is>
          <ns0:t>Pause paid acquisition above $400 until conversion measured</ns0:t>
        </ns0:is>
      </ns0:c>
      <ns0:c r="F35" s="54" t="inlineStr">
        <ns0:is>
          <ns0:t>PLG plan</ns0:t>
        </ns0:is>
      </ns0:c>
    </ns0:row>
    <ns0:row r="36" ht="48" customHeight="1" s="45">
      <ns0:c r="A36" s="54" t="inlineStr">
        <ns0:is>
          <ns0:t>Shared service monthly floor</ns0:t>
        </ns0:is>
      </ns0:c>
      <ns0:c r="B36" s="55" t="n">
        <ns0:v>80</ns0:v>
      </ns0:c>
      <ns0:c r="C36" s="54" t="inlineStr">
        <ns0:is>
          <ns0:t>USD/month</ns0:t>
        </ns0:is>
      </ns0:c>
      <ns0:c r="D36" s="54" t="inlineStr">
        <ns0:is>
          <ns0:t>hypothesis</ns0:t>
        </ns0:is>
      </ns0:c>
      <ns0:c r="E36" s="54" t="inlineStr">
        <ns0:is>
          <ns0:t>Hosting, auth and connectors minimum; requires invoice</ns0:t>
        </ns0:is>
      </ns0:c>
      <ns0:c r="F36" s="54" t="inlineStr">
        <ns0:is>
          <ns0:t>Infra estimate</ns0:t>
        </ns0:is>
      </ns0:c>
    </ns0:row>
    <ns0:row r="37" ht="48" customHeight="1" s="45">
      <ns0:c r="A37" s="54" t="inlineStr">
        <ns0:is>
          <ns0:t>Infra variable/attempt</ns0:t>
        </ns0:is>
      </ns0:c>
      <ns0:c r="B37" s="55" t="n">
        <ns0:v>8</ns0:v>
      </ns0:c>
      <ns0:c r="C37" s="54" t="inlineStr">
        <ns0:is>
          <ns0:t>USD/attempt</ns0:t>
        </ns0:is>
      </ns0:c>
      <ns0:c r="D37" s="54" t="inlineStr">
        <ns0:is>
          <ns0:t>hypothesis</ns0:t>
        </ns0:is>
      </ns0:c>
      <ns0:c r="E37" s="54" t="inlineStr">
        <ns0:is>
          <ns0:t>$3 ingestion/DB + $1 storage/egress + $1 logging/eval + $1.5 support + $1.5 collection/reserve</ns0:t>
        </ns0:is>
      </ns0:c>
      <ns0:c r="F37" s="54" t="inlineStr">
        <ns0:is>
          <ns0:t>Infra estimate</ns0:t>
        </ns0:is>
      </ns0:c>
    </ns0:row>
    <ns0:row r="38" ht="48" customHeight="1" s="45">
      <ns0:c r="A38" s="54" t="inlineStr">
        <ns0:is>
          <ns0:t>Vendor QA minutes</ns0:t>
        </ns0:is>
      </ns0:c>
      <ns0:c r="B38" s="56">
        <ns0:f>'1_Cost_Job'!B52</ns0:f>
        <ns0:v>15</ns0:v>
      </ns0:c>
      <ns0:c r="C38" s="54" t="inlineStr">
        <ns0:is>
          <ns0:t>minutes</ns0:t>
        </ns0:is>
      </ns0:c>
      <ns0:c r="D38" s="54" t="inlineStr">
        <ns0:is>
          <ns0:t>hypothesis</ns0:t>
        </ns0:is>
      </ns0:c>
      <ns0:c r="E38" s="54" t="inlineStr">
        <ns0:is>
          <ns0:t>Early sample review of evidence links and numerical accuracy</ns0:t>
        </ns0:is>
      </ns0:c>
      <ns0:c r="F38" s="54" t="inlineStr">
        <ns0:is>
          <ns0:t>QA plan</ns0:t>
        </ns0:is>
      </ns0:c>
    </ns0:row>
    <ns0:row r="39" ht="48" customHeight="1" s="45">
      <ns0:c r="A39" s="54" t="inlineStr">
        <ns0:is>
          <ns0:t>Vendor fully loaded hourly rate</ns0:t>
        </ns0:is>
      </ns0:c>
      <ns0:c r="B39" s="56">
        <ns0:f>'1_Cost_Job'!B50</ns0:f>
        <ns0:v>20</ns0:v>
      </ns0:c>
      <ns0:c r="C39" s="54" t="inlineStr">
        <ns0:is>
          <ns0:t>USD/hour</ns0:t>
        </ns0:is>
      </ns0:c>
      <ns0:c r="D39" s="54" t="inlineStr">
        <ns0:is>
          <ns0:t>hypothesis</ns0:t>
        </ns0:is>
      </ns0:c>
      <ns0:c r="E39" s="54" t="inlineStr">
        <ns0:is>
          <ns0:t>Labor estimate including burden</ns0:t>
        </ns0:is>
      </ns0:c>
      <ns0:c r="F39" s="54" t="inlineStr">
        <ns0:is>
          <ns0:t>QA plan</ns0:t>
        </ns0:is>
      </ns0:c>
    </ns0:row>
    <ns0:row r="40" ht="48" customHeight="1" s="45">
      <ns0:c r="A40" s="54" t="inlineStr">
        <ns0:is>
          <ns0:t>Rep motion total annual acquisition cost</ns0:t>
        </ns0:is>
      </ns0:c>
      <ns0:c r="B40" s="55" t="n">
        <ns0:v>48000</ns0:v>
      </ns0:c>
      <ns0:c r="C40" s="54" t="inlineStr">
        <ns0:is>
          <ns0:t>USD/year</ns0:t>
        </ns0:is>
      </ns0:c>
      <ns0:c r="D40" s="54" t="inlineStr">
        <ns0:is>
          <ns0:t>hypothesis</ns0:t>
        </ns0:is>
      </ns0:c>
      <ns0:c r="E40" s="54" t="inlineStr">
        <ns0:is>
          <ns0:t>$24k AE + $12k marketing + $12k tools/management; fully loaded, local scenario</ns0:t>
        </ns0:is>
      </ns0:c>
      <ns0:c r="F40" s="54" t="inlineStr">
        <ns0:is>
          <ns0:t>Not ICONIQ benchmark</ns0:t>
        </ns0:is>
      </ns0:c>
    </ns0:row>
    <ns0:row r="41" ht="48" customHeight="1" s="45">
      <ns0:c r="A41" s="54" t="inlineStr">
        <ns0:is>
          <ns0:t>Rep qualified opportunities/year</ns0:t>
        </ns0:is>
      </ns0:c>
      <ns0:c r="B41" s="55" t="n">
        <ns0:v>40</ns0:v>
      </ns0:c>
      <ns0:c r="C41" s="54" t="inlineStr">
        <ns0:is>
          <ns0:t>opportunities</ns0:t>
        </ns0:is>
      </ns0:c>
      <ns0:c r="D41" s="54" t="inlineStr">
        <ns0:is>
          <ns0:t>hypothesis</ns0:t>
        </ns0:is>
      </ns0:c>
      <ns0:c r="E41" s="54" t="inlineStr">
        <ns0:is>
          <ns0:t>Low-velocity technical approval; replaces unknown external CPO</ns0:t>
        </ns0:is>
      </ns0:c>
      <ns0:c r="F41" s="54" t="inlineStr">
        <ns0:is>
          <ns0:t>Local scenario</ns0:t>
        </ns0:is>
      </ns0:c>
    </ns0:row>
    <ns0:row r="42" ht="48" customHeight="1" s="45">
      <ns0:c r="A42" s="54" t="inlineStr">
        <ns0:is>
          <ns0:t>Rep cost/opportunity</ns0:t>
        </ns0:is>
      </ns0:c>
      <ns0:c r="B42" s="56">
        <ns0:f>B40/B41</ns0:f>
        <ns0:v>1200</ns0:v>
      </ns0:c>
      <ns0:c r="C42" s="54" t="inlineStr">
        <ns0:is>
          <ns0:t>USD/opportunity</ns0:t>
        </ns0:is>
      </ns0:c>
      <ns0:c r="D42" s="54" t="inlineStr">
        <ns0:is>
          <ns0:t>derived estimate</ns0:t>
        </ns0:is>
      </ns0:c>
      <ns0:c r="E42" s="54" t="inlineStr">
        <ns0:is>
          <ns0:t>Full acquisition cost divided by qualified opportunities</ns0:t>
        </ns0:is>
      </ns0:c>
      <ns0:c r="F42" s="54" t="inlineStr">
        <ns0:is>
          <ns0:t>B40:B41</ns0:t>
        </ns0:is>
      </ns0:c>
    </ns0:row>
    <ns0:row r="43" ht="48" customHeight="1" s="45">
      <ns0:c r="A43" s="54" t="inlineStr">
        <ns0:is>
          <ns0:t>Rep win rate</ns0:t>
        </ns0:is>
      </ns0:c>
      <ns0:c r="B43" s="55" t="n">
        <ns0:v>0.25</ns0:v>
      </ns0:c>
      <ns0:c r="C43" s="54" t="inlineStr">
        <ns0:is>
          <ns0:t>fraction</ns0:t>
        </ns0:is>
      </ns0:c>
      <ns0:c r="D43" s="54" t="inlineStr">
        <ns0:is>
          <ns0:t>hypothesis</ns0:t>
        </ns0:is>
      </ns0:c>
      <ns0:c r="E43" s="54" t="inlineStr">
        <ns0:is>
          <ns0:t>10 wins from 40 opportunities</ns0:t>
        </ns0:is>
      </ns0:c>
      <ns0:c r="F43" s="54" t="inlineStr">
        <ns0:is>
          <ns0:t>Local scenario</ns0:t>
        </ns0:is>
      </ns0:c>
    </ns0:row>
    <ns0:row r="44" ht="48" customHeight="1" s="45">
      <ns0:c r="A44" s="54" t="inlineStr">
        <ns0:is>
          <ns0:t>Rep CAC</ns0:t>
        </ns0:is>
      </ns0:c>
      <ns0:c r="B44" s="56">
        <ns0:f>B42/B43</ns0:f>
        <ns0:v>4800</ns0:v>
      </ns0:c>
      <ns0:c r="C44" s="54" t="inlineStr">
        <ns0:is>
          <ns0:t>USD/customer</ns0:t>
        </ns0:is>
      </ns0:c>
      <ns0:c r="D44" s="54" t="inlineStr">
        <ns0:is>
          <ns0:t>derived estimate</ns0:t>
        </ns0:is>
      </ns0:c>
      <ns0:c r="E44" s="54" t="inlineStr">
        <ns0:is>
          <ns0:t>Not measured or third-party industry statistic</ns0:t>
        </ns0:is>
      </ns0:c>
      <ns0:c r="F44" s="54" t="inlineStr">
        <ns0:is>
          <ns0:t>B42:B43</ns0:t>
        </ns0:is>
      </ns0:c>
    </ns0:row>
    <ns0:row r="45" ht="48" customHeight="1" s="45">
      <ns0:c r="A45" s="54" t="inlineStr">
        <ns0:is>
          <ns0:t>AE annual quota</ns0:t>
        </ns0:is>
      </ns0:c>
      <ns0:c r="B45" s="55" t="n">
        <ns0:v>120000</ns0:v>
      </ns0:c>
      <ns0:c r="C45" s="54" t="inlineStr">
        <ns0:is>
          <ns0:t>USD/year</ns0:t>
        </ns0:is>
      </ns0:c>
      <ns0:c r="D45" s="54" t="inlineStr">
        <ns0:is>
          <ns0:t>hypothesis</ns0:t>
        </ns0:is>
      </ns0:c>
      <ns0:c r="E45" s="54" t="inlineStr">
        <ns0:is>
          <ns0:t>5× $24k fully loaded cost; conventional planning ratio, not benchmark</ns0:t>
        </ns0:is>
      </ns0:c>
      <ns0:c r="F45" s="54" t="inlineStr">
        <ns0:is>
          <ns0:t>Sales scenario</ns0:t>
        </ns0:is>
      </ns0:c>
    </ns0:row>
    <ns0:row r="46" ht="48" customHeight="1" s="45">
      <ns0:c r="A46" s="54" t="inlineStr">
        <ns0:is>
          <ns0:t>AE annual fully loaded cost</ns0:t>
        </ns0:is>
      </ns0:c>
      <ns0:c r="B46" s="55" t="n">
        <ns0:v>24000</ns0:v>
      </ns0:c>
      <ns0:c r="C46" s="54" t="inlineStr">
        <ns0:is>
          <ns0:t>USD/year</ns0:t>
        </ns0:is>
      </ns0:c>
      <ns0:c r="D46" s="54" t="inlineStr">
        <ns0:is>
          <ns0:t>hypothesis</ns0:t>
        </ns0:is>
      </ns0:c>
      <ns0:c r="E46" s="54" t="inlineStr">
        <ns0:is>
          <ns0:t>$2,000/month inclusive burden; not actual payroll</ns0:t>
        </ns0:is>
      </ns0:c>
      <ns0:c r="F46" s="54" t="inlineStr">
        <ns0:is>
          <ns0:t>Sales scenario</ns0:t>
        </ns0:is>
      </ns0:c>
    </ns0:row>
    <ns0:row r="47" ht="48" customHeight="1" s="45">
      <ns0:c r="A47" s="54" t="inlineStr">
        <ns0:is>
          <ns0:t>Working days/year</ns0:t>
        </ns0:is>
      </ns0:c>
      <ns0:c r="B47" s="55" t="n">
        <ns0:v>250</ns0:v>
      </ns0:c>
      <ns0:c r="C47" s="54" t="inlineStr">
        <ns0:is>
          <ns0:t>days</ns0:t>
        </ns0:is>
      </ns0:c>
      <ns0:c r="D47" s="54" t="inlineStr">
        <ns0:is>
          <ns0:t>hypothesis</ns0:t>
        </ns0:is>
      </ns0:c>
      <ns0:c r="E47" s="54" t="inlineStr">
        <ns0:is>
          <ns0:t>Lab working-year assumption</ns0:t>
        </ns0:is>
      </ns0:c>
      <ns0:c r="F47" s="54" t="inlineStr">
        <ns0:is>
          <ns0:t>Channel inputs</ns0:t>
        </ns0:is>
      </ns0:c>
    </ns0:row>
    <ns0:row r="48" ht="48" customHeight="1" s="45">
      <ns0:c r="A48" s="54" t="inlineStr">
        <ns0:is>
          <ns0:t>Total value-based monthly ceiling</ns0:t>
        </ns0:is>
      </ns0:c>
      <ns0:c r="B48" s="56">
        <ns0:f>'2_Pricing'!B10*0.25</ns0:f>
        <ns0:v>300</ns0:v>
      </ns0:c>
      <ns0:c r="C48" s="54" t="inlineStr">
        <ns0:is>
          <ns0:t>USD/month</ns0:t>
        </ns0:is>
      </ns0:c>
      <ns0:c r="D48" s="54" t="inlineStr">
        <ns0:is>
          <ns0:t>derived hypothesis</ns0:t>
        </ns0:is>
      </ns0:c>
      <ns0:c r="E48" s="54" t="inlineStr">
        <ns0:is>
          <ns0:t>25% of value; all-in bill must fit, including base fee</ns0:t>
        </ns0:is>
      </ns0:c>
      <ns0:c r="F48" s="54" t="inlineStr">
        <ns0:is>
          <ns0:t>2_Pricing!B10</ns0:t>
        </ns0:is>
      </ns0:c>
    </ns0:row>
    <ns0:row r="49" ht="48" customHeight="1" s="45">
      <ns0:c r="A49" s="54" t="inlineStr">
        <ns0:is>
          <ns0:t>Overhead/month</ns0:t>
        </ns0:is>
      </ns0:c>
      <ns0:c r="B49" s="56">
        <ns0:f>'1_Cost_Job'!B59</ns0:f>
        <ns0:v>300</ns0:v>
      </ns0:c>
      <ns0:c r="C49" s="54" t="inlineStr">
        <ns0:is>
          <ns0:t>USD/month</ns0:t>
        </ns0:is>
      </ns0:c>
      <ns0:c r="D49" s="54" t="inlineStr">
        <ns0:is>
          <ns0:t>hypothesis</ns0:t>
        </ns0:is>
      </ns0:c>
      <ns0:c r="E49" s="54" t="inlineStr">
        <ns0:is>
          <ns0:t>Product upkeep and admin, excludes CAC and direct support</ns0:t>
        </ns0:is>
      </ns0:c>
      <ns0:c r="F49" s="54" t="inlineStr">
        <ns0:is>
          <ns0:t>1_Cost_Job!B59</ns0:t>
        </ns0:is>
      </ns0:c>
    </ns0:row>
    <ns0:row r="50" ht="48" customHeight="1" s="45">
      <ns0:c r="A50" s="54" t="inlineStr">
        <ns0:is>
          <ns0:t>All-in baseline customer bill</ns0:t>
        </ns0:is>
      </ns0:c>
      <ns0:c r="B50" s="56">
        <ns0:f>B25</ns0:f>
        <ns0:v>219</ns0:v>
      </ns0:c>
      <ns0:c r="C50" s="54" t="inlineStr">
        <ns0:is>
          <ns0:t>USD/month</ns0:t>
        </ns0:is>
      </ns0:c>
      <ns0:c r="D50" s="54" t="inlineStr">
        <ns0:is>
          <ns0:t>pricing hypothesis</ns0:t>
        </ns0:is>
      </ns0:c>
      <ns0:c r="E50" s="54" t="inlineStr">
        <ns0:is>
          <ns0:t>Opt-in before overage; no auto unlimited retries</ns0:t>
        </ns0:is>
      </ns0:c>
      <ns0:c r="F50" s="54" t="inlineStr">
        <ns0:is>
          <ns0:t>B25</ns0:t>
        </ns0:is>
      </ns0:c>
    </ns0:row>
    <ns0:row r="51" ht="48" customHeight="1" s="45">
      <ns0:c r="A51" s="54" t="inlineStr">
        <ns0:is>
          <ns0:t>USD/VND sell quote</ns0:t>
        </ns0:is>
      </ns0:c>
      <ns0:c r="B51" s="56">
        <ns0:f>'1_Cost_Job'!B68</ns0:f>
        <ns0:v>26160</ns0:v>
      </ns0:c>
      <ns0:c r="C51" s="54" t="inlineStr">
        <ns0:is>
          <ns0:t>VND/USD</ns0:t>
        </ns0:is>
      </ns0:c>
      <ns0:c r="D51" s="54" t="inlineStr">
        <ns0:is>
          <ns0:t>verified 2026-10-08</ns0:t>
        </ns0:is>
      </ns0:c>
      <ns0:c r="E51" s="54" t="inlineStr">
        <ns0:is>
          <ns0:t>VCB XML published 12:13:07 PM</ns0:t>
        </ns0:is>
      </ns0:c>
      <ns0:c r="F51" s="54" t="inlineStr">
        <ns0:is>
          <ns0:t>data/sources.json#vietcombank</ns0:t>
        </ns0:is>
      </ns0:c>
    </ns0:row>
    <ns0:row r="52" ht="48" customHeight="1" s="45">
      <ns0:c r="A52" s="54" t="inlineStr">
        <ns0:is>
          <ns0:t>Price/source check date</ns0:t>
        </ns0:is>
      </ns0:c>
      <ns0:c r="B52" s="55" t="inlineStr">
        <ns0:is>
          <ns0:t>2026-10-08</ns0:t>
        </ns0:is>
      </ns0:c>
      <ns0:c r="C52" s="54" t="inlineStr">
        <ns0:is>
          <ns0:t>date</ns0:t>
        </ns0:is>
      </ns0:c>
      <ns0:c r="D52" s="54" t="inlineStr">
        <ns0:is>
          <ns0:t>verified</ns0:t>
        </ns0:is>
      </ns0:c>
      <ns0:c r="E52" s="54" t="inlineStr">
        <ns0:is>
          <ns0:t>Chosen vendor and peers; not all historical rows</ns0:t>
        </ns0:is>
      </ns0:c>
      <ns0:c r="F52" s="54" t="inlineStr">
        <ns0:is>
          <ns0:t>data/sources.json</ns0:t>
        </ns0:is>
      </ns0:c>
    </ns0:row>
    <ns0:row r="53" ht="48" customHeight="1" s="45">
      <ns0:c r="A53" s="54" t="inlineStr">
        <ns0:is>
          <ns0:t>GM50 containment threshold</ns0:t>
        </ns0:is>
      </ns0:c>
      <ns0:c r="B53" s="56">
        <ns0:f>('2_Pricing'!B29+'2_Pricing'!B30)/('2_Pricing'!B19*0.5)</ns0:f>
        <ns0:v>0.3786144</ns0:v>
      </ns0:c>
      <ns0:c r="C53" s="54" t="inlineStr">
        <ns0:is>
          <ns0:t>fraction</ns0:t>
        </ns0:is>
      </ns0:c>
      <ns0:c r="D53" s="54" t="inlineStr">
        <ns0:is>
          <ns0:t>derived A-only</ns0:t>
        </ns0:is>
      </ns0:c>
      <ns0:c r="E53" s="54" t="inlineStr">
        <ns0:is>
          <ns0:t>Below this threshold report GM &lt;50%</ns0:t>
        </ns0:is>
      </ns0:c>
      <ns0:c r="F53" s="54" t="inlineStr">
        <ns0:is>
          <ns0:t>2_Pricing!B29:B30</ns0:t>
        </ns0:is>
      </ns0:c>
    </ns0:row>
    <ns0:row r="54" ht="48" customHeight="1" s="45">
      <ns0:c r="A54" s="54" t="inlineStr">
        <ns0:is>
          <ns0:t>GM60 containment threshold</ns0:t>
        </ns0:is>
      </ns0:c>
      <ns0:c r="B54" s="56">
        <ns0:f>'2_Pricing'!B33</ns0:f>
        <ns0:v>0.473268</ns0:v>
      </ns0:c>
      <ns0:c r="C54" s="54" t="inlineStr">
        <ns0:is>
          <ns0:t>fraction</ns0:t>
        </ns0:is>
      </ns0:c>
      <ns0:c r="D54" s="54" t="inlineStr">
        <ns0:is>
          <ns0:t>derived</ns0:t>
        </ns0:is>
      </ns0:c>
      <ns0:c r="E54" s="54" t="inlineStr">
        <ns0:is>
          <ns0:t>Not accounting breakeven GM=0; healthy-margin floor</ns0:t>
        </ns0:is>
      </ns0:c>
      <ns0:c r="F54" s="54" t="inlineStr">
        <ns0:is>
          <ns0:t>2_Pricing!B33</ns0:t>
        </ns0:is>
      </ns0:c>
    </ns0:row>
    <ns0:row r="55" ht="48" customHeight="1" s="45">
      <ns0:c r="A55" s="54" t="inlineStr">
        <ns0:is>
          <ns0:t>Monthly report cadence</ns0:t>
        </ns0:is>
      </ns0:c>
      <ns0:c r="B55" s="55" t="inlineStr">
        <ns0:is>
          <ns0:t>2 Sprint + 1 Board</ns0:t>
        </ns0:is>
      </ns0:c>
      <ns0:c r="C55" s="54" t="inlineStr">
        <ns0:is>
          <ns0:t>reports/month</ns0:t>
        </ns0:is>
      </ns0:c>
      <ns0:c r="D55" s="54" t="inlineStr">
        <ns0:is>
          <ns0:t>Day20 target</ns0:t>
        </ns0:is>
      </ns0:c>
      <ns0:c r="E55" s="54" t="inlineStr">
        <ns0:is>
          <ns0:t>Mean completed preparation jobs =3/workspace</ns0:t>
        </ns0:is>
      </ns0:c>
      <ns0:c r="F55" s="54" t="inlineStr">
        <ns0:is>
          <ns0:t>Day20 engagement</ns0:t>
        </ns0:is>
      </ns0:c>
    </ns0:row>
    <ns0:row r="56" ht="48" customHeight="1" s="45">
      <ns0:c r="A56" s="54" t="inlineStr">
        <ns0:is>
          <ns0:t>Trial/activation window</ns0:t>
        </ns0:is>
      </ns0:c>
      <ns0:c r="B56" s="55" t="n">
        <ns0:v>14</ns0:v>
      </ns0:c>
      <ns0:c r="C56" s="54" t="inlineStr">
        <ns0:is>
          <ns0:t>days</ns0:t>
        </ns0:is>
      </ns0:c>
      <ns0:c r="D56" s="54" t="inlineStr">
        <ns0:is>
          <ns0:t>design target</ns0:t>
        </ns0:is>
      </ns0:c>
      <ns0:c r="E56" s="54" t="inlineStr">
        <ns0:is>
          <ns0:t>One small redacted report; no unlimited full-history trial</ns0:t>
        </ns0:is>
      </ns0:c>
      <ns0:c r="F56" s="54" t="inlineStr">
        <ns0:is>
          <ns0:t>Day20 activation</ns0:t>
        </ns0:is>
      </ns0:c>
    </ns0:row>
    <ns0:row r="57" ht="48" customHeight="1" s="45">
      <ns0:c r="A57" s="54" t="inlineStr">
        <ns0:is>
          <ns0:t>Attempt quota/workspace/month</ns0:t>
        </ns0:is>
      </ns0:c>
      <ns0:c r="B57" s="55" t="n">
        <ns0:v>8</ns0:v>
      </ns0:c>
      <ns0:c r="C57" s="54" t="inlineStr">
        <ns0:is>
          <ns0:t>attempts</ns0:t>
        </ns0:is>
      </ns0:c>
      <ns0:c r="D57" s="54" t="inlineStr">
        <ns0:is>
          <ns0:t>design proposal</ns0:t>
        </ns0:is>
      </ns0:c>
      <ns0:c r="E57" s="54" t="inlineStr">
        <ns0:is>
          <ns0:t>Alerts then pause; user approves revised quota/price</ns0:t>
        </ns0:is>
      </ns0:c>
      <ns0:c r="F57" s="54" t="inlineStr">
        <ns0:is>
          <ns0:t>Usage guardrail</ns0:t>
        </ns0:is>
      </ns0:c>
    </ns0:row>
    <ns0:row r="58" ht="48" customHeight="1" s="45">
      <ns0:c r="A58" s="54" t="inlineStr">
        <ns0:is>
          <ns0:t>Dataset PR limit/workspace/month</ns0:t>
        </ns0:is>
      </ns0:c>
      <ns0:c r="B58" s="55" t="n">
        <ns0:v>1000</ns0:v>
      </ns0:c>
      <ns0:c r="C58" s="54" t="inlineStr">
        <ns0:is>
          <ns0:t>PR metadata records</ns0:t>
        </ns0:is>
      </ns0:c>
      <ns0:c r="D58" s="54" t="inlineStr">
        <ns0:is>
          <ns0:t>design proposal</ns0:t>
        </ns0:is>
      </ns0:c>
      <ns0:c r="E58" s="54" t="inlineStr">
        <ns0:is>
          <ns0:t>Beyond limit: no silent ingestion or overage</ns0:t>
        </ns0:is>
      </ns0:c>
      <ns0:c r="F58" s="54" t="inlineStr">
        <ns0:is>
          <ns0:t>Usage guardrail</ns0:t>
        </ns0:is>
      </ns0:c>
    </ns0:row>
    <ns0:row r="59" ht="48" customHeight="1" s="45">
      <ns0:c r="A59" s="54" t="inlineStr">
        <ns0:is>
          <ns0:t>Raw metadata retention</ns0:t>
        </ns0:is>
      </ns0:c>
      <ns0:c r="B59" s="55" t="n">
        <ns0:v>90</ns0:v>
      </ns0:c>
      <ns0:c r="C59" s="54" t="inlineStr">
        <ns0:is>
          <ns0:t>days</ns0:t>
        </ns0:is>
      </ns0:c>
      <ns0:c r="D59" s="54" t="inlineStr">
        <ns0:is>
          <ns0:t>policy proposal</ns0:t>
        </ns0:is>
      </ns0:c>
      <ns0:c r="E59" s="54" t="inlineStr">
        <ns0:is>
          <ns0:t>Must verify export/deletion before pilot; not implemented claim</ns0:t>
        </ns0:is>
      </ns0:c>
      <ns0:c r="F59" s="54" t="inlineStr">
        <ns0:is>
          <ns0:t>Procurement Q&amp;A</ns0:t>
        </ns0:is>
      </ns0:c>
    </ns0:row>
    <ns0:row r="60" ht="48" customHeight="1" s="45">
      <ns0:c r="A60" s="54" t="inlineStr">
        <ns0:is>
          <ns0:t>Pilot orgs</ns0:t>
        </ns0:is>
      </ns0:c>
      <ns0:c r="B60" s="55" t="n">
        <ns0:v>3</ns0:v>
      </ns0:c>
      <ns0:c r="C60" s="54" t="inlineStr">
        <ns0:is>
          <ns0:t>organizations</ns0:t>
        </ns0:is>
      </ns0:c>
      <ns0:c r="D60" s="54" t="inlineStr">
        <ns0:is>
          <ns0:t>target</ns0:t>
        </ns0:is>
      </ns0:c>
      <ns0:c r="E60" s="54" t="inlineStr">
        <ns0:is>
          <ns0:t>Candidates not named yet; recruit voluntarily via PLG</ns0:t>
        </ns0:is>
      </ns0:c>
      <ns0:c r="F60" s="54" t="inlineStr">
        <ns0:is>
          <ns0:t>5_90Day_Plan!B13</ns0:t>
        </ns0:is>
      </ns0:c>
    </ns0:row>
    <ns0:row r="61" ht="48" customHeight="1" s="45">
      <ns0:c r="A61" s="54" t="inlineStr">
        <ns0:is>
          <ns0:t>Pilot duration</ns0:t>
        </ns0:is>
      </ns0:c>
      <ns0:c r="B61" s="55" t="n">
        <ns0:v>4</ns0:v>
      </ns0:c>
      <ns0:c r="C61" s="54" t="inlineStr">
        <ns0:is>
          <ns0:t>weeks</ns0:t>
        </ns0:is>
      </ns0:c>
      <ns0:c r="D61" s="54" t="inlineStr">
        <ns0:is>
          <ns0:t>target</ns0:t>
        </ns0:is>
      </ns0:c>
      <ns0:c r="E61" s="54" t="inlineStr">
        <ns0:is>
          <ns0:t>Not a completed pilot report</ns0:t>
        </ns0:is>
      </ns0:c>
      <ns0:c r="F61" s="54" t="inlineStr">
        <ns0:is>
          <ns0:t>Pilot Protocol</ns0:t>
        </ns0:is>
      </ns0:c>
    </ns0:row>
    <ns0:row r="62" ht="48" customHeight="1" s="45">
      <ns0:c r="A62" s="54" t="inlineStr">
        <ns0:is>
          <ns0:t>Eval cases</ns0:t>
        </ns0:is>
      </ns0:c>
      <ns0:c r="B62" s="55" t="n">
        <ns0:v>100</ns0:v>
      </ns0:c>
      <ns0:c r="C62" s="54" t="inlineStr">
        <ns0:is>
          <ns0:t>jobs</ns0:t>
        </ns0:is>
      </ns0:c>
      <ns0:c r="D62" s="54" t="inlineStr">
        <ns0:is>
          <ns0:t>target</ns0:t>
        </ns0:is>
      </ns0:c>
      <ns0:c r="E62" s="54" t="inlineStr">
        <ns0:is>
          <ns0:t>Stratified normal/edge/error reports; no eval result claim</ns0:t>
        </ns0:is>
      </ns0:c>
      <ns0:c r="F62" s="54" t="inlineStr">
        <ns0:is>
          <ns0:t>Eval Plan</ns0:t>
        </ns0:is>
      </ns0:c>
    </ns0:row>
    <ns0:row r="63" ht="48" customHeight="1" s="45">
      <ns0:c r="A63" s="54" t="inlineStr">
        <ns0:is>
          <ns0:t>Eval due</ns0:t>
        </ns0:is>
      </ns0:c>
      <ns0:c r="B63" s="55" t="inlineStr">
        <ns0:is>
          <ns0:t>2026-10-22</ns0:t>
        </ns0:is>
      </ns0:c>
      <ns0:c r="C63" s="54" t="inlineStr">
        <ns0:is>
          <ns0:t>date</ns0:t>
        </ns0:is>
      </ns0:c>
      <ns0:c r="D63" s="54" t="inlineStr">
        <ns0:is>
          <ns0:t>planned</ns0:t>
        </ns0:is>
      </ns0:c>
      <ns0:c r="E63" s="54" t="inlineStr">
        <ns0:is>
          <ns0:t>Owner Phạm Thanh Đạt</ns0:t>
        </ns0:is>
      </ns0:c>
      <ns0:c r="F63" s="54" t="inlineStr">
        <ns0:is>
          <ns0:t>5_90Day_Plan!D23</ns0:t>
        </ns0:is>
      </ns0:c>
    </ns0:row>
    <ns0:row r="64" ht="48" customHeight="1" s="45">
      <ns0:c r="A64" s="54" t="inlineStr">
        <ns0:is>
          <ns0:t>Procurement control verification due</ns0:t>
        </ns0:is>
      </ns0:c>
      <ns0:c r="B64" s="55" t="inlineStr">
        <ns0:is>
          <ns0:t>2026-10-15</ns0:t>
        </ns0:is>
      </ns0:c>
      <ns0:c r="C64" s="54" t="inlineStr">
        <ns0:is>
          <ns0:t>date</ns0:t>
        </ns0:is>
      </ns0:c>
      <ns0:c r="D64" s="54" t="inlineStr">
        <ns0:is>
          <ns0:t>planned</ns0:t>
        </ns0:is>
      </ns0:c>
      <ns0:c r="E64" s="54" t="inlineStr">
        <ns0:is>
          <ns0:t>Written answers drafted; live proof pending</ns0:t>
        </ns0:is>
      </ns0:c>
      <ns0:c r="F64" s="54" t="inlineStr">
        <ns0:is>
          <ns0:t>5_90Day_Plan!D24</ns0:t>
        </ns0:is>
      </ns0:c>
    </ns0:row>
    <ns0:row r="65" ht="48" customHeight="1" s="45">
      <ns0:c r="A65" s="54" t="inlineStr">
        <ns0:is>
          <ns0:t>Pilot report due</ns0:t>
        </ns0:is>
      </ns0:c>
      <ns0:c r="B65" s="55" t="inlineStr">
        <ns0:is>
          <ns0:t>2026-11-23</ns0:t>
        </ns0:is>
      </ns0:c>
      <ns0:c r="C65" s="54" t="inlineStr">
        <ns0:is>
          <ns0:t>date</ns0:t>
        </ns0:is>
      </ns0:c>
      <ns0:c r="D65" s="54" t="inlineStr">
        <ns0:is>
          <ns0:t>planned</ns0:t>
        </ns0:is>
      </ns0:c>
      <ns0:c r="E65" s="54" t="inlineStr">
        <ns0:is>
          <ns0:t>Recruitment/consent and measured logs required</ns0:t>
        </ns0:is>
      </ns0:c>
      <ns0:c r="F65" s="54" t="inlineStr">
        <ns0:is>
          <ns0:t>5_90Day_Plan!D25</ns0:t>
        </ns0:is>
      </ns0:c>
    </ns0:row>
    <ns0:row r="66" ht="48" customHeight="1" s="45">
      <ns0:c r="A66" s="54" t="inlineStr">
        <ns0:is>
          <ns0:t>Owner</ns0:t>
        </ns0:is>
      </ns0:c>
      <ns0:c r="B66" s="55" t="inlineStr">
        <ns0:is>
          <ns0:t>Phạm Thanh Đạt</ns0:t>
        </ns0:is>
      </ns0:c>
      <ns0:c r="C66" s="54" t="inlineStr">
        <ns0:is>
          <ns0:t>name</ns0:t>
        </ns0:is>
      </ns0:c>
      <ns0:c r="D66" s="54" t="inlineStr">
        <ns0:is>
          <ns0:t>assignment</ns0:t>
        </ns0:is>
      </ns0:c>
      <ns0:c r="E66" s="54" t="inlineStr">
        <ns0:is>
          <ns0:t>Only named owner from input; no invented teammates</ns0:t>
        </ns0:is>
      </ns0:c>
      <ns0:c r="F66" s="54" t="inlineStr">
        <ns0:is>
          <ns0:t>User submission</ns0:t>
        </ns0:is>
      </ns0:c>
    </ns0:row>
    <ns0:row r="67" ht="48" customHeight="1" s="45">
      <ns0:c r="A67" s="54" t="inlineStr">
        <ns0:is>
          <ns0:t>Independent human reader test</ns0:t>
        </ns0:is>
      </ns0:c>
      <ns0:c r="B67" s="55" t="inlineStr">
        <ns0:is>
          <ns0:t>Chưa thực hiện</ns0:t>
        </ns0:is>
      </ns0:c>
      <ns0:c r="C67" s="54" t="inlineStr">
        <ns0:is>
          <ns0:t>status</ns0:t>
        </ns0:is>
      </ns0:c>
      <ns0:c r="D67" s="54" t="inlineStr">
        <ns0:is>
          <ns0:t>pending</ns0:t>
        </ns0:is>
      </ns0:c>
      <ns0:c r="E67" s="54" t="inlineStr">
        <ns0:is>
          <ns0:t>AI review cannot substitute an actual stranger</ns0:t>
        </ns0:is>
      </ns0:c>
      <ns0:c r="F67" s="54" t="inlineStr">
        <ns0:is>
          <ns0:t>5_90Day_Plan!B29:B32</ns0:t>
        </ns0:is>
      </ns0:c>
    </ns0:row>
    <ns0:row r="68" ht="48" customHeight="1" s="45">
      <ns0:c r="A68" s="54" t="inlineStr">
        <ns0:is>
          <ns0:t>Historical template benchmark scope</ns0:t>
        </ns0:is>
      </ns0:c>
      <ns0:c r="B68" s="55" t="inlineStr">
        <ns0:is>
          <ns0:t>Chỉ Haiku/cache đã kiểm tra; các dòng khác giữ nguyên tham chiếu cũ</ns0:t>
        </ns0:is>
      </ns0:c>
      <ns0:c r="C68" s="54" t="inlineStr">
        <ns0:is>
          <ns0:t>text</ns0:t>
        </ns0:is>
      </ns0:c>
      <ns0:c r="D68" s="54" t="inlineStr">
        <ns0:is>
          <ns0:t>not verified current</ns0:t>
        </ns0:is>
      </ns0:c>
      <ns0:c r="E68" s="54" t="inlineStr">
        <ns0:is>
          <ns0:t>No use of unverified promotional or ICONIQ prices</ns0:t>
        </ns0:is>
      </ns0:c>
      <ns0:c r="F68" s="54" t="inlineStr">
        <ns0:is>
          <ns0:t>6_Benchmarks</ns0:t>
        </ns0:is>
      </ns0:c>
    </ns0:row>
    <ns0:row r="69" ht="48" customHeight="1" s="45">
      <ns0:c r="A69" s="54" t="inlineStr">
        <ns0:is>
          <ns0:t>90-day active workspace target</ns0:t>
        </ns0:is>
      </ns0:c>
      <ns0:c r="B69" s="55" t="n">
        <ns0:v>10</ns0:v>
      </ns0:c>
      <ns0:c r="C69" s="54" t="inlineStr">
        <ns0:is>
          <ns0:t>workspaces</ns0:t>
        </ns0:is>
      </ns0:c>
      <ns0:c r="D69" s="54" t="inlineStr">
        <ns0:is>
          <ns0:t>target</ns0:t>
        </ns0:is>
      </ns0:c>
      <ns0:c r="E69" s="54" t="inlineStr">
        <ns0:is>
          <ns0:t>10 active, not all paid. Baseline10 paying is steady-state scenario beyond initial funnel.</ns0:t>
        </ns0:is>
      </ns0:c>
      <ns0:c r="F69" s="54" t="inlineStr">
        <ns0:is>
          <ns0:t>90-day plan</ns0:t>
        </ns0:is>
      </ns0:c>
    </ns0:row>
    <ns0:row r="70" ht="48" customHeight="1" s="45">
      <ns0:c r="A70" s="54" t="inlineStr">
        <ns0:is>
          <ns0:t>Pilot attempts</ns0:t>
        </ns0:is>
      </ns0:c>
      <ns0:c r="B70" s="56">
        <ns0:f>B60*B13</ns0:f>
        <ns0:v>12</ns0:v>
      </ns0:c>
      <ns0:c r="C70" s="54" t="inlineStr">
        <ns0:is>
          <ns0:t>attempts/month</ns0:t>
        </ns0:is>
      </ns0:c>
      <ns0:c r="D70" s="54" t="inlineStr">
        <ns0:is>
          <ns0:t>derived target</ns0:t>
        </ns0:is>
      </ns0:c>
      <ns0:c r="E70" s="54" t="inlineStr">
        <ns0:is>
          <ns0:t>3 pilot orgs×4 attempts</ns0:t>
        </ns0:is>
      </ns0:c>
      <ns0:c r="F70" s="54" t="inlineStr">
        <ns0:is>
          <ns0:t>Pilot Protocol</ns0:t>
        </ns0:is>
      </ns0:c>
    </ns0:row>
    <ns0:row r="71" ht="48" customHeight="1" s="45">
      <ns0:c r="A71" s="54" t="inlineStr">
        <ns0:is>
          <ns0:t>Pilot AI-ready</ns0:t>
        </ns0:is>
      </ns0:c>
      <ns0:c r="B71" s="56">
        <ns0:f>B70*'1_Cost_Job'!B10</ns0:f>
        <ns0:v>9</ns0:v>
      </ns0:c>
      <ns0:c r="C71" s="54" t="inlineStr">
        <ns0:is>
          <ns0:t>reports/month</ns0:t>
        </ns0:is>
      </ns0:c>
      <ns0:c r="D71" s="54" t="inlineStr">
        <ns0:is>
          <ns0:t>derived estimate</ns0:t>
        </ns0:is>
      </ns0:c>
      <ns0:c r="E71" s="54" t="inlineStr">
        <ns0:is>
          <ns0:t>No measured containment</ns0:t>
        </ns0:is>
      </ns0:c>
      <ns0:c r="F71" s="54" t="inlineStr">
        <ns0:is>
          <ns0:t>1_Cost_Job!B10</ns0:t>
        </ns0:is>
      </ns0:c>
    </ns0:row>
    <ns0:row r="72" ht="48" customHeight="1" s="45">
      <ns0:c r="A72" s="54" t="inlineStr">
        <ns0:is>
          <ns0:t>Pilot COGS</ns0:t>
        </ns0:is>
      </ns0:c>
      <ns0:c r="B72" s="56">
        <ns0:f>B36+B70*(B37+'1_Cost_Job'!B31+'1_Cost_Job'!B38+'1_Cost_Job'!B47+'2_Pricing'!B30)</ns0:f>
        <ns0:v>192.301184</ns0:v>
      </ns0:c>
      <ns0:c r="C72" s="54" t="inlineStr">
        <ns0:is>
          <ns0:t>USD/month</ns0:t>
        </ns0:is>
      </ns0:c>
      <ns0:c r="D72" s="54" t="inlineStr">
        <ns0:is>
          <ns0:t>derived scenario</ns0:t>
        </ns0:is>
      </ns0:c>
      <ns0:c r="E72" s="54" t="inlineStr">
        <ns0:is>
          <ns0:t>Fixed80 not divided over fictional40 attempts</ns0:t>
        </ns0:is>
      </ns0:c>
      <ns0:c r="F72" s="54" t="inlineStr">
        <ns0:is>
          <ns0:t>Low-volume stress</ns0:t>
        </ns0:is>
      </ns0:c>
    </ns0:row>
    <ns0:row r="73" ht="48" customHeight="1" s="45">
      <ns0:c r="A73" s="54" t="inlineStr">
        <ns0:is>
          <ns0:t>Pilot Cost/Job</ns0:t>
        </ns0:is>
      </ns0:c>
      <ns0:c r="B73" s="56">
        <ns0:f>B72/B71</ns0:f>
        <ns0:v>21.3667982222222</ns0:v>
      </ns0:c>
      <ns0:c r="C73" s="54" t="inlineStr">
        <ns0:is>
          <ns0:t>USD/report</ns0:t>
        </ns0:is>
      </ns0:c>
      <ns0:c r="D73" s="54" t="inlineStr">
        <ns0:is>
          <ns0:t>derived scenario</ns0:t>
        </ns0:is>
      </ns0:c>
      <ns0:c r="E73" s="54" t="inlineStr">
        <ns0:is>
          <ns0:t>All direct costs, no overhead</ns0:t>
        </ns0:is>
      </ns0:c>
      <ns0:c r="F73" s="54" t="inlineStr">
        <ns0:is>
          <ns0:t>B72:B71</ns0:t>
        </ns0:is>
      </ns0:c>
    </ns0:row>
    <ns0:row r="74" ht="48" customHeight="1" s="45">
      <ns0:c r="A74" s="54" t="inlineStr">
        <ns0:is>
          <ns0:t>Pilot 3x COGS floor</ns0:t>
        </ns0:is>
      </ns0:c>
      <ns0:c r="B74" s="56">
        <ns0:f>B73*'2_Pricing'!B6</ns0:f>
        <ns0:v>64.1003946666667</ns0:v>
      </ns0:c>
      <ns0:c r="C74" s="54" t="inlineStr">
        <ns0:is>
          <ns0:t>USD/report</ns0:t>
        </ns0:is>
      </ns0:c>
      <ns0:c r="D74" s="54" t="inlineStr">
        <ns0:is>
          <ns0:t>derived scenario</ns0:t>
        </ns0:is>
      </ns0:c>
      <ns0:c r="E74" s="54" t="inlineStr">
        <ns0:is>
          <ns0:t>Pilot at $60 fails floor3x; funding or ≥4paid needed</ns0:t>
        </ns0:is>
      </ns0:c>
      <ns0:c r="F74" s="54" t="inlineStr">
        <ns0:is>
          <ns0:t>Low-volume stress</ns0:t>
        </ns0:is>
      </ns0:c>
    </ns0:row>
    <ns0:row r="75" ht="48" customHeight="1" s="45">
      <ns0:c r="A75" s="54" t="inlineStr">
        <ns0:is>
          <ns0:t>Pilot report GM</ns0:t>
        </ns0:is>
      </ns0:c>
      <ns0:c r="B75" s="56">
        <ns0:f>1-B73/'2_Pricing'!B19</ns0:f>
        <ns0:v>0.643886696296296</ns0:v>
      </ns0:c>
      <ns0:c r="C75" s="54" t="inlineStr">
        <ns0:is>
          <ns0:t>fraction</ns0:t>
        </ns0:is>
      </ns0:c>
      <ns0:c r="D75" s="54" t="inlineStr">
        <ns0:is>
          <ns0:t>derived scenario</ns0:t>
        </ns0:is>
      </ns0:c>
      <ns0:c r="E75" s="54" t="inlineStr">
        <ns0:is>
          <ns0:t>Above60% but floor guardrail separate</ns0:t>
        </ns0:is>
      </ns0:c>
      <ns0:c r="F75" s="54" t="inlineStr">
        <ns0:is>
          <ns0:t>Low-volume stress</ns0:t>
        </ns0:is>
      </ns0:c>
    </ns0:row>
    <ns0:row r="76" ht="48" customHeight="1" s="45">
      <ns0:c r="A76" s="54" t="inlineStr">
        <ns0:is>
          <ns0:t>Contribution after overhead</ns0:t>
        </ns0:is>
      </ns0:c>
      <ns0:c r="B76" s="56">
        <ns0:f>1-'1_Cost_Job'!B65/B22</ns0:f>
        <ns0:v>0.655553753424658</ns0:v>
      </ns0:c>
      <ns0:c r="C76" s="54" t="inlineStr">
        <ns0:is>
          <ns0:t>fraction</ns0:t>
        </ns0:is>
      </ns0:c>
      <ns0:c r="D76" s="54" t="inlineStr">
        <ns0:is>
          <ns0:t>derived forecast</ns0:t>
        </ns0:is>
      </ns0:c>
      <ns0:c r="E76" s="54" t="inlineStr">
        <ns0:is>
          <ns0:t>Not gross margin, not full company P&amp;L</ns0:t>
        </ns0:is>
      </ns0:c>
      <ns0:c r="F76" s="54" t="inlineStr">
        <ns0:is>
          <ns0:t>B22 and 1_Cost_Job!B65</ns0:t>
        </ns0:is>
      </ns0:c>
    </ns0:row>
    <ns0:row r="77" ht="48" customHeight="1" s="45">
      <ns0:c r="A77" s="54" t="inlineStr">
        <ns0:is>
          <ns0:t>Minimum paid orgs at floor3x</ns0:t>
        </ns0:is>
      </ns0:c>
      <ns0:c r="B77" s="55" t="n">
        <ns0:v>4</ns0:v>
      </ns0:c>
      <ns0:c r="C77" s="54" t="inlineStr">
        <ns0:is>
          <ns0:t>workspaces</ns0:t>
        </ns0:is>
      </ns0:c>
      <ns0:c r="D77" s="54" t="inlineStr">
        <ns0:is>
          <ns0:t>derived rounded condition</ns0:t>
        </ns0:is>
      </ns0:c>
      <ns0:c r="E77" s="54" t="inlineStr">
        <ns0:is>
          <ns0:t>40-attempt baseline assumes10paid; at4paid/16attempts floor&lt;$60</ns0:t>
        </ns0:is>
      </ns0:c>
      <ns0:c r="F77" s="54" t="inlineStr">
        <ns0:is>
          <ns0:t>Cost volume equation</ns0:t>
        </ns0:is>
      </ns0:c>
    </ns0:row>
    <ns0:row r="78" ht="48" customHeight="1" s="45">
      <ns0:c r="A78" s="54" t="inlineStr">
        <ns0:is>
          <ns0:t>90-day paid target</ns0:t>
        </ns0:is>
      </ns0:c>
      <ns0:c r="B78" s="56">
        <ns0:f>B32</ns0:f>
        <ns0:v>3</ns0:v>
      </ns0:c>
      <ns0:c r="C78" s="54" t="inlineStr">
        <ns0:is>
          <ns0:t>customers</ns0:t>
        </ns0:is>
      </ns0:c>
      <ns0:c r="D78" s="54" t="inlineStr">
        <ns0:is>
          <ns0:t>derived target</ns0:t>
        </ns0:is>
      </ns0:c>
      <ns0:c r="E78" s="54" t="inlineStr">
        <ns0:is>
          <ns0:t>3 incremental paying orgs, not10paying</ns0:t>
        </ns0:is>
      </ns0:c>
      <ns0:c r="F78" s="54" t="inlineStr">
        <ns0:is>
          <ns0:t>PLG acquisition forecast</ns0:t>
        </ns0:is>
      </ns0:c>
    </ns0:row>
  </ns0:sheetData>
  <ns0:autoFilter ref="A3:F78"/>
  <ns0:pageMargins left="0.75" right="0.75" top="1" bottom="1" header="0.5" footer="0.5"/>
  <ns0:pageSetup orientation="landscape" paperSize="8" fitToWidth="1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2026-08-26T15:07:08Z</dcterms:created>
  <dcterms:modified xmlns:dcterms="http://purl.org/dc/terms/" xmlns:xsi="http://www.w3.org/2001/XMLSchema-instance" xsi:type="dcterms:W3CDTF">2026-10-08T05:27:44Z</dcterms:modified>
</cp:coreProperties>
</file>