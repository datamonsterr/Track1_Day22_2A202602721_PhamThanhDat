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  <sheet xmlns:r="http://schemas.openxmlformats.org/officeDocument/2006/relationships" name="7_Assumptions" sheetId="8" state="visible" r:id="rId8"/>
  </sheets>
  <definedNames>
    <definedName name="_xlnm._FilterDatabase" localSheetId="7" hidden="1">'7_Assumptions'!$A$3:$F$69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2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  <font>
      <name val="Calibri"/>
      <sz val="10"/>
    </font>
  </fonts>
  <fills count="9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  <xf numFmtId="0" fontId="5" fillId="3" borderId="2" applyAlignment="1" pivotButton="0" quotePrefix="0" xfId="0">
      <alignment vertical="top" wrapText="1"/>
    </xf>
    <xf numFmtId="0" fontId="5" fillId="3" borderId="2" applyAlignment="1" pivotButton="0" quotePrefix="0" xfId="0">
      <alignment horizontal="center" vertical="top" wrapText="1"/>
    </xf>
    <xf numFmtId="3" fontId="5" fillId="3" borderId="2" applyAlignment="1" pivotButton="0" quotePrefix="0" xfId="0">
      <alignment vertical="top" wrapText="1"/>
    </xf>
    <xf numFmtId="164" fontId="5" fillId="3" borderId="2" applyAlignment="1" pivotButton="0" quotePrefix="0" xfId="0">
      <alignment vertical="top" wrapText="1"/>
    </xf>
    <xf numFmtId="167" fontId="5" fillId="3" borderId="2" applyAlignment="1" pivotButton="0" quotePrefix="0" xfId="0">
      <alignment vertical="top" wrapText="1"/>
    </xf>
    <xf numFmtId="165" fontId="5" fillId="3" borderId="2" applyAlignment="1" pivotButton="0" quotePrefix="0" xfId="0">
      <alignment vertical="top" wrapText="1"/>
    </xf>
    <xf numFmtId="166" fontId="5" fillId="3" borderId="2" applyAlignment="1" pivotButton="0" quotePrefix="0" xfId="0">
      <alignment vertical="top" wrapText="1"/>
    </xf>
    <xf numFmtId="168" fontId="5" fillId="3" borderId="2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None</author>
    <author>Day22 provenance</author>
  </authors>
  <commentList>
    <comment ref="B5" authorId="0" shapeId="0">
      <text>
        <t>======
ID#AAACIQEOV6c
Unknown Author    (2026-10-08 02:20:56)
Ví dụ mẫu đang điền sẵn — thay bằng sản phẩm của bạn.</t>
      </text>
    </comment>
    <comment ref="B9" authorId="1" shapeId="0">
      <text>
        <t>Planning: 10 workspaces × 4 attempted reports/month = 40. Day20 cadence: two sprint reports and one board report delivered. Not current customers.</t>
      </text>
    </comment>
    <comment ref="B10" authorId="1" shapeId="0">
      <text>
        <t>75% planning assumption, not eval. 40 attempts → 30 AI-ready. CTO review remains mandatory; preparation containment ≠ end-to-end autonomy.</t>
      </text>
    </comment>
    <comment ref="B20" authorId="1" shapeId="0">
      <text>
        <t>8,000 stable prefix tokens ≥ Haiku 4.5 cache minimum 4,096. Four sequential calls within five-minute TTL. No claim measured hit rate.</t>
      </text>
    </comment>
    <comment ref="B21" authorId="1" shapeId="0">
      <text>
        <t>12,000 average fresh tokens/call includes history, structured source aggregates, tool schemas and results; no raw source-code ingestion. Must replace with usage logs.</t>
      </text>
    </comment>
    <comment ref="B30" authorId="1" shapeId="0">
      <text>
        <t>No Batch in baseline: planned on-demand preview within 15 minutes. Batch scenario only for overnight reports, no assumed cache sharing across batched jobs.</t>
      </text>
    </comment>
    <comment ref="B41" authorId="1" shapeId="0">
      <text>
        <t>$80 shared monthly floor / 40 attempts + $8 per attempt = $10. $8: ingestion/DB $3, storage/egress $1, logging/eval $1, direct support $1.5, collection/FX/tax contingency $1.5. Estimates, not invoices.</t>
      </text>
    </comment>
    <comment ref="B46" authorId="1" shapeId="0">
      <text>
        <t>8% assumes exactly one extra full inference per affected job. More repeats require expected extra call count, not probability alone. Infra retry reserve in logging component.</t>
      </text>
    </comment>
    <comment ref="B50" authorId="1" shapeId="0">
      <text>
        <t>Fully-loaded vendor QA/support $20/hour is planning assumption, not Vietnam wage benchmark.</t>
      </text>
    </comment>
    <comment ref="B53" authorId="1" shapeId="0">
      <text>
        <t>20 minutes/customer-reworked failure is a scenario input. Vendor cost = zero only in variant A; customer burden must be measured.</t>
      </text>
    </comment>
    <comment ref="B59" authorId="1" shapeId="0">
      <text>
        <t>$300/month allocation: ongoing product maintenance 8h×$20 + admin 7h×$20. Acquisition spend is in CAC, not double-counted here. Not complete startup payroll.</t>
      </text>
    </comment>
    <comment ref="B68" authorId="1" shapeId="0">
      <text>
        <t>Vietcombank XML USD sell 26,160 VND/USD; published 10/8/2026 12:13:07 PM; checked 2026-10-08. Excludes payment fees.</t>
      </text>
    </comment>
  </commentList>
</comments>
</file>

<file path=xl/comments/comment2.xml><?xml version="1.0" encoding="utf-8"?>
<comments xmlns="http://schemas.openxmlformats.org/spreadsheetml/2006/main">
  <authors>
    <author>Day22 provenance</author>
  </authors>
  <commentList>
    <comment ref="B10" authorId="0" shapeId="0">
      <text>
        <t>3 reports/month × 10 net preparation hours saved × $40/hour = $1,200. No token-spend savings or causal developer productivity claim. Pilot stopwatch required.</t>
      </text>
    </comment>
    <comment ref="B11" authorId="0" shapeId="0">
      <text>
        <t>AI-ready reports/customer/month, not attempted reports. Three reports follows two sprint reports + one monthly board review from Day20.</t>
      </text>
    </comment>
    <comment ref="B14" authorId="0" shapeId="0">
      <text>
        <t>Hypothetical reporting analyst $2,000/month; not an employee actually replaced. Primary anchor is saved preparation hours.</t>
      </text>
    </comment>
    <comment ref="B19" authorId="0" shapeId="0">
      <text>
        <t>$60/report, hypothesis: above 3×COGS floor; at 3 reports plus $39 base, $219/month &lt; 25% of $1,200 saved. WTP unvalidated.</t>
      </text>
    </comment>
  </commentList>
</comments>
</file>

<file path=xl/comments/comment3.xml><?xml version="1.0" encoding="utf-8"?>
<comments xmlns="http://schemas.openxmlformats.org/spreadsheetml/2006/main">
  <authors>
    <author>Day22 provenance</author>
  </authors>
  <commentList>
    <comment ref="B5" authorId="0" shapeId="0">
      <text>
        <t>39 base + 3 AI-ready reports ×60 =219 USD/month. Expected ARPU, not current revenue.</t>
      </text>
    </comment>
    <comment ref="B7" authorId="0" shapeId="0">
      <text>
        <t>SMB engineering team20–50 devs, per Day20. 12-month payback is lab ceiling, not retention evidence; use tighter CAC $400 operating stop.</t>
      </text>
    </comment>
    <comment ref="B13" authorId="0" shapeId="0">
      <text>
        <t>Local planning quota120k/year =5×24k fully loaded AE cost. Not historical $500k quota copied from Tunguz.</t>
      </text>
    </comment>
    <comment ref="B20" authorId="0" shapeId="0">
      <text>
        <t>Local bottom-up scenario: 48k annual rep motion acquisition spend /40 qualified opportunities =1200. Not unverified ICONIQ2026 cost-per-opportunity.</t>
      </text>
    </comment>
    <comment ref="B21" authorId="0" shapeId="0">
      <text>
        <t>25% assumption:10 wins/40 opportunities; replace with actual funnel.</t>
      </text>
    </comment>
    <comment ref="B38" authorId="0" shapeId="0">
      <text>
        <t>PLG is a proposed 90-day motion, not a functioning current acquisition channel. GitHub App installation and trust friction are principal falsification risks.</t>
      </text>
    </comment>
  </commentList>
</comments>
</file>

<file path=xl/comments/comment4.xml><?xml version="1.0" encoding="utf-8"?>
<comments xmlns="http://schemas.openxmlformats.org/spreadsheetml/2006/main">
  <authors>
    <author>Day22 provenance</author>
  </authors>
  <commentList>
    <comment ref="B3" authorId="0" shapeId="0">
      <text>
        <t>Verified Haiku 4.5 and cache rates only; see 7_Assumptions and data/sources.json. Other read-only rows remain the historical template and are not certified current.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 ht="75.625" customHeight="1" s="45">
      <c r="A5" s="14" t="inlineStr">
        <is>
          <t>1 job của bạn là gì?</t>
        </is>
      </c>
      <c r="B5" s="46" t="inlineStr">
        <is>
          <t>1 báo cáo Sprint/tháng AI-ready: đủ nguồn Jira/GitHub/AI ledger, coverage ≥80%, không lỗi nghiêm trọng; CTO review riêng.</t>
        </is>
      </c>
      <c r="D5" s="17" t="inlineStr">
        <is>
          <t>Phải là thứ KHÁCH coi là giá trị — không phải '1 request'</t>
        </is>
      </c>
    </row>
    <row r="6" ht="32" customHeight="1" s="45">
      <c r="A6" s="14" t="inlineStr">
        <is>
          <t>Biến thể HITL: A hay B?</t>
        </is>
      </c>
      <c r="B6" s="47" t="inlineStr">
        <is>
          <t>A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48" t="n">
        <v>40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49" t="n">
        <v>0.75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50" t="n">
        <v>1</v>
      </c>
      <c r="D15" s="17" t="inlineStr">
        <is>
          <t>Claude Haiku 4.5 — xem tab 6_Benchmarks</t>
        </is>
      </c>
    </row>
    <row r="16">
      <c r="A16" s="14" t="inlineStr">
        <is>
          <t>Giá output ($ / 1M token)</t>
        </is>
      </c>
      <c r="B16" s="50" t="n">
        <v>5</v>
      </c>
    </row>
    <row r="17">
      <c r="A17" s="14" t="inlineStr">
        <is>
          <t>Giá cache WRITE ($ / 1M token)</t>
        </is>
      </c>
      <c r="B17" s="50" t="n">
        <v>1.25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50" t="n">
        <v>0.1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48" t="n">
        <v>4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48" t="n">
        <v>8000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48" t="n">
        <v>12000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48" t="n">
        <v>2000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48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51" t="n">
        <v>0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52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50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48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51" t="n">
        <v>10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51" t="n">
        <v>0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49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50" t="n">
        <v>20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49" t="n">
        <v>0.25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52" t="n">
        <v>15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52" t="n">
        <v>20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50" t="n">
        <v>300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48" t="n">
        <v>26160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52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53" t="n">
        <v>1200</v>
      </c>
      <c r="D10" s="17" t="inlineStr">
        <is>
          <t>Neo theo giá trị</t>
        </is>
      </c>
    </row>
    <row r="11">
      <c r="A11" s="14" t="inlineStr">
        <is>
          <t>Số job / tháng của 1 khách</t>
        </is>
      </c>
      <c r="B11" s="48" t="n">
        <v>3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53" t="n">
        <v>2000</v>
      </c>
      <c r="D14" s="17" t="inlineStr">
        <is>
          <t>Neo theo nhân công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51" t="n">
        <v>60</v>
      </c>
      <c r="C19" s="17" t="inlineStr">
        <is>
          <t>$/job</t>
        </is>
      </c>
      <c r="D19" s="17" t="inlineStr">
        <is>
          <t>Tham chiếu: Intercom Fin $0,99 · Zendesk $1,50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49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47" t="n">
        <v>0</v>
      </c>
    </row>
    <row r="6">
      <c r="A6" s="14" t="inlineStr">
        <is>
          <t>2. Tôi có bộ eval đo được tỷ lệ AI làm đúng, có số liệu</t>
        </is>
      </c>
      <c r="B6" s="47" t="n">
        <v>0</v>
      </c>
    </row>
    <row r="7">
      <c r="A7" s="14" t="inlineStr">
        <is>
          <t>3. Khách hàng đồng ý với cách tôi định nghĩa 'thành công' của một job</t>
        </is>
      </c>
      <c r="B7" s="47" t="n">
        <v>0</v>
      </c>
    </row>
    <row r="8">
      <c r="A8" s="14" t="inlineStr">
        <is>
          <t>4. Tôi phân biệt được kết quả do AI tạo ra với kết quả do yếu tố khác</t>
        </is>
      </c>
      <c r="B8" s="47" t="n">
        <v>0</v>
      </c>
    </row>
    <row r="9">
      <c r="A9" s="14" t="inlineStr">
        <is>
          <t>5. Tôi viết được định nghĩa chặt như Intercom: cái gì tính tiền, cái gì không</t>
        </is>
      </c>
      <c r="B9" s="47" t="n">
        <v>1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47" t="n">
        <v>0</v>
      </c>
    </row>
    <row r="14">
      <c r="A14" s="14" t="inlineStr">
        <is>
          <t>2. Job chạy được ngoài giờ hành chính mà không ai trực</t>
        </is>
      </c>
      <c r="B14" s="47" t="n">
        <v>0</v>
      </c>
    </row>
    <row r="15">
      <c r="A15" s="14" t="inlineStr">
        <is>
          <t>3. Khi AI không chắc, nó tự chuyển tiếp đúng chỗ — không cần người phân loại</t>
        </is>
      </c>
      <c r="B15" s="47" t="n">
        <v>0</v>
      </c>
    </row>
    <row r="16">
      <c r="A16" s="14" t="inlineStr">
        <is>
          <t>4. Tỷ lệ ca phải có người can thiệp dưới 20%</t>
        </is>
      </c>
      <c r="B16" s="47" t="n">
        <v>0</v>
      </c>
    </row>
    <row r="17">
      <c r="A17" s="14" t="inlineStr">
        <is>
          <t>5. Người vận hành chỉ kiểm tra mẫu (QA), không xử lý từng ca</t>
        </is>
      </c>
      <c r="B17" s="47" t="n">
        <v>0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32" customHeight="1" s="45">
      <c r="A26" s="46" t="inlineStr">
        <is>
          <t>Swarmia Standard</t>
        </is>
      </c>
      <c r="B26" s="46" t="inlineStr">
        <is>
          <t>Seat</t>
        </is>
      </c>
      <c r="C26" s="46" t="inlineStr">
        <is>
          <t>$45/dev/tháng, annual billing</t>
        </is>
      </c>
      <c r="D26" s="46" t="inlineStr">
        <is>
          <t>https://www.swarmia.com/pricing/</t>
        </is>
      </c>
    </row>
    <row r="27" ht="32" customHeight="1" s="45">
      <c r="A27" s="46" t="inlineStr">
        <is>
          <t>LinearB Essentials</t>
        </is>
      </c>
      <c r="B27" s="46" t="inlineStr">
        <is>
          <t>Hybrid: seat + AI credits</t>
        </is>
      </c>
      <c r="C27" s="46" t="inlineStr">
        <is>
          <t>$29/user/tháng annual; 1.000 credits; thêm từ $0,015/credit</t>
        </is>
      </c>
      <c r="D27" s="46" t="inlineStr">
        <is>
          <t>https://linearb.io/pricing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32" customHeight="1" s="45">
      <c r="A30" s="14" t="inlineStr">
        <is>
          <t>Value Metric tôi chọn</t>
        </is>
      </c>
      <c r="B30" s="46" t="inlineStr">
        <is>
          <t>Hybrid</t>
        </is>
      </c>
    </row>
    <row r="31" ht="50.625" customHeight="1" s="45">
      <c r="A31" s="14" t="inlineStr">
        <is>
          <t>Nếu KHÁC gợi ý — lý do thị trường là gì?</t>
        </is>
      </c>
      <c r="B31" s="46" t="inlineStr">
        <is>
          <t>Không override: khớp Seat/Hybrid. CTO vẫn review, chưa đủ bằng chứng bán Outcome.</t>
        </is>
      </c>
    </row>
    <row r="32" ht="56.875" customHeight="1" s="45">
      <c r="A32" s="14" t="inlineStr">
        <is>
          <t>Decision Note — câu 1: tôi chọn đơn vị nào?</t>
        </is>
      </c>
      <c r="B32" s="46" t="inlineStr">
        <is>
          <t>Workspace fee cho kết nối + Usage/báo cáo AI-ready; từ báo cáo đầu, không báo cáo miễn phí.</t>
        </is>
      </c>
    </row>
    <row r="33" ht="57.5" customHeight="1" s="45">
      <c r="A33" s="14" t="inlineStr">
        <is>
          <t>Decision Note — câu 2: bằng chứng Attribution / Autonomy?</t>
        </is>
      </c>
      <c r="B33" s="46" t="inlineStr">
        <is>
          <t>Attribution 1/10; Autonomy 0/10. Chưa có log/eval/pilot; rule viết được nhưng chưa validate.</t>
        </is>
      </c>
    </row>
    <row r="34" ht="58.125" customHeight="1" s="45">
      <c r="A34" s="14" t="inlineStr">
        <is>
          <t>Decision Note — câu 3: mô hình này lỗ trong tình huống nào?</t>
        </is>
      </c>
      <c r="B34" s="46" t="inlineStr">
        <is>
          <t>Lỗ khi refresh vô hạn hoặc nhà cung cấp chịu sửa mọi ca; quota dataset, kỳ và opt-in overage.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53" t="n">
        <v>219</v>
      </c>
    </row>
    <row r="6">
      <c r="A6" s="14" t="inlineStr">
        <is>
          <t>Gross Margin (từ tab 2_Pricing)</t>
        </is>
      </c>
      <c r="B6" s="34">
        <f>'2_Pricing'!B21</f>
        <v/>
      </c>
    </row>
    <row r="7" ht="32" customHeight="1" s="45">
      <c r="A7" s="14" t="inlineStr">
        <is>
          <t>Phân khúc (SMB / Mid / Enterprise)</t>
        </is>
      </c>
      <c r="B7" s="47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53" t="n">
        <v>120000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48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53" t="n">
        <v>1200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49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47" t="n">
        <v>4</v>
      </c>
      <c r="C28" s="47" t="n">
        <v>1</v>
      </c>
      <c r="D28" s="47" t="n">
        <v>2</v>
      </c>
    </row>
    <row r="29" ht="15.75" customHeight="1" s="45">
      <c r="A29" s="14" t="inlineStr">
        <is>
          <t>2. Khách hàng mục tiêu thực sự mua theo cách này</t>
        </is>
      </c>
      <c r="B29" s="47" t="n">
        <v>3</v>
      </c>
      <c r="C29" s="47" t="n">
        <v>4</v>
      </c>
      <c r="D29" s="47" t="n">
        <v>2</v>
      </c>
    </row>
    <row r="30" ht="15.75" customHeight="1" s="45">
      <c r="A30" s="14" t="inlineStr">
        <is>
          <t>3. Đội hiện tại có năng lực chạy kênh này ngay</t>
        </is>
      </c>
      <c r="B30" s="47" t="n">
        <v>3</v>
      </c>
      <c r="C30" s="47" t="n">
        <v>2</v>
      </c>
      <c r="D30" s="47" t="n">
        <v>1</v>
      </c>
    </row>
    <row r="31" ht="15.75" customHeight="1" s="45">
      <c r="A31" s="14" t="inlineStr">
        <is>
          <t>4. Tôi tiếp cận được điểm nhúng / partner trong 30 ngày</t>
        </is>
      </c>
      <c r="B31" s="47" t="n">
        <v>3</v>
      </c>
      <c r="C31" s="47" t="n">
        <v>4</v>
      </c>
      <c r="D31" s="47" t="n">
        <v>1</v>
      </c>
    </row>
    <row r="32" ht="15.75" customHeight="1" s="45">
      <c r="A32" s="14" t="inlineStr">
        <is>
          <t>5. Kênh này đưa tôi đến ĐÚNG Pain Moment</t>
        </is>
      </c>
      <c r="B32" s="47" t="n">
        <v>5</v>
      </c>
      <c r="C32" s="47" t="n">
        <v>3</v>
      </c>
      <c r="D32" s="47" t="n">
        <v>3</v>
      </c>
    </row>
    <row r="33" ht="15.75" customHeight="1" s="45">
      <c r="A33" s="14" t="inlineStr">
        <is>
          <t>6. Tôi đo được hiệu quả trong vòng 90 ngày</t>
        </is>
      </c>
      <c r="B33" s="47" t="n">
        <v>4</v>
      </c>
      <c r="C33" s="47" t="n">
        <v>3</v>
      </c>
      <c r="D33" s="47" t="n">
        <v>2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32" customHeight="1" s="45">
      <c r="A38" s="14" t="inlineStr">
        <is>
          <t>★ Kênh tôi chọn cho 90 ngày đầu</t>
        </is>
      </c>
      <c r="B38" s="46" t="inlineStr">
        <is>
          <t>PLG</t>
        </is>
      </c>
      <c r="D38" s="17" t="inlineStr">
        <is>
          <t>ĐÚNG 1 kênh. Chọn 2 kênh trở lên bị trừ điểm.</t>
        </is>
      </c>
    </row>
    <row r="39" ht="46.25" customHeight="1" s="45">
      <c r="A39" s="14" t="inlineStr">
        <is>
          <t>Nếu Partner-Led: TÊN CÔNG TY partner</t>
        </is>
      </c>
      <c r="B39" s="46" t="inlineStr">
        <is>
          <t>Không áp dụng: GitHub, Inc. là bề mặt phân phối, chưa có partner hợp đồng.</t>
        </is>
      </c>
      <c r="D39" s="17" t="inlineStr">
        <is>
          <t>'Các nền tảng trong ngành' = chưa có kênh</t>
        </is>
      </c>
    </row>
    <row r="40" ht="32" customHeight="1" s="45">
      <c r="A40" s="14" t="inlineStr">
        <is>
          <t>Đã nói chuyện với họ chưa? (Rồi / Chưa)</t>
        </is>
      </c>
      <c r="B40" s="46" t="inlineStr">
        <is>
          <t>Chưa; không chọn Partner-Led</t>
        </is>
      </c>
    </row>
    <row r="41" ht="51.25" customHeight="1" s="45">
      <c r="A41" s="14" t="inlineStr">
        <is>
          <t>Bạn mang lại giá trị gì cho partner?</t>
        </is>
      </c>
      <c r="B41" s="46" t="inlineStr">
        <is>
          <t>Không áp dụng. Khách tự cài GitHub App; không giả quan hệ partner hoặc commission.</t>
        </is>
      </c>
    </row>
    <row r="42" ht="60.625" customHeight="1" s="45">
      <c r="A42" s="14" t="inlineStr">
        <is>
          <t>Nếu rơi vào vùng không khả thi — lối thoát nào?</t>
        </is>
      </c>
      <c r="B42" s="46" t="inlineStr">
        <is>
          <t>Giữ PLG tự phục vụ; thử 3 pilot nhỏ trong 30 ngày. Không tuyển AE khi CAC rep $4.800 vượt budget.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n"/>
    </row>
    <row r="6">
      <c r="A6" s="14" t="inlineStr">
        <is>
          <t>Lúc đó họ ĐANG LÀM GÌ?</t>
        </is>
      </c>
      <c r="B6" s="5" t="n"/>
    </row>
    <row r="7">
      <c r="A7" s="14" t="inlineStr">
        <is>
          <t>Họ đang DÙNG APP / KÊNH NÀO?</t>
        </is>
      </c>
      <c r="B7" s="5" t="n"/>
    </row>
    <row r="8">
      <c r="A8" s="14" t="inlineStr">
        <is>
          <t>→ Điểm nhúng cụ thể của bạn</t>
        </is>
      </c>
      <c r="B8" s="5" t="n"/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n"/>
      <c r="C12" s="41" t="n"/>
      <c r="D12" s="41" t="n"/>
    </row>
    <row r="13" ht="30" customHeight="1" s="45">
      <c r="A13" s="14" t="inlineStr">
        <is>
          <t>Mục tiêu số khách</t>
        </is>
      </c>
      <c r="B13" s="41" t="n"/>
      <c r="C13" s="41" t="n"/>
      <c r="D13" s="41" t="n"/>
    </row>
    <row r="14" ht="30" customHeight="1" s="45">
      <c r="A14" s="14" t="inlineStr">
        <is>
          <t>Việc cụ thể 1</t>
        </is>
      </c>
      <c r="B14" s="41" t="n"/>
      <c r="C14" s="41" t="n"/>
      <c r="D14" s="41" t="n"/>
    </row>
    <row r="15" ht="30" customHeight="1" s="45">
      <c r="A15" s="14" t="inlineStr">
        <is>
          <t>Việc cụ thể 2</t>
        </is>
      </c>
      <c r="B15" s="41" t="n"/>
      <c r="C15" s="41" t="n"/>
      <c r="D15" s="41" t="n"/>
    </row>
    <row r="16" ht="30" customHeight="1" s="45">
      <c r="A16" s="14" t="inlineStr">
        <is>
          <t>Việc cụ thể 3</t>
        </is>
      </c>
      <c r="B16" s="41" t="n"/>
      <c r="C16" s="41" t="n"/>
      <c r="D16" s="41" t="n"/>
    </row>
    <row r="17" ht="30" customHeight="1" s="45">
      <c r="A17" s="14" t="inlineStr">
        <is>
          <t>KPI đo được</t>
        </is>
      </c>
      <c r="B17" s="41" t="n"/>
      <c r="C17" s="41" t="n"/>
      <c r="D17" s="41" t="n"/>
    </row>
    <row r="18" ht="30" customHeight="1" s="45">
      <c r="A18" s="14" t="inlineStr">
        <is>
          <t>Người chịu trách nhiệm</t>
        </is>
      </c>
      <c r="B18" s="41" t="n"/>
      <c r="C18" s="41" t="n"/>
      <c r="D18" s="41" t="n"/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n"/>
      <c r="C23" s="41" t="n"/>
      <c r="D23" s="41" t="n"/>
    </row>
    <row r="24" ht="33.75" customHeight="1" s="45">
      <c r="A24" s="14" t="inlineStr">
        <is>
          <t xml:space="preserve">2. Risk Checklist </t>
        </is>
      </c>
      <c r="B24" s="41" t="n"/>
      <c r="C24" s="41" t="n"/>
      <c r="D24" s="41" t="n"/>
    </row>
    <row r="25" ht="33.75" customHeight="1" s="45">
      <c r="A25" s="14" t="inlineStr">
        <is>
          <t>3. Pilot Report</t>
        </is>
      </c>
      <c r="B25" s="41" t="n"/>
      <c r="C25" s="41" t="n"/>
      <c r="D25" s="41" t="n"/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n"/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n"/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n"/>
    </row>
    <row r="32" ht="15.75" customHeight="1" s="45">
      <c r="A32" s="14" t="inlineStr">
        <is>
          <t>Số câu họ phải hỏi lại (mục tiêu ≤ 3)</t>
        </is>
      </c>
      <c r="B32" s="5" t="n"/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2026-10-08</t>
        </is>
      </c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style="45" min="1" max="1"/>
    <col width="48" customWidth="1" style="45" min="2" max="2"/>
    <col width="20" customWidth="1" style="45" min="3" max="3"/>
    <col width="24" customWidth="1" style="45" min="4" max="4"/>
    <col width="70" customWidth="1" style="45" min="5" max="5"/>
    <col width="70" customWidth="1" style="45" min="6" max="6"/>
  </cols>
  <sheetData>
    <row r="1">
      <c r="A1" s="54" t="inlineStr">
        <is>
          <t>DAY22 — DEVPULSE: ASSUMPTIONS &amp; TRACEABILITY</t>
        </is>
      </c>
      <c r="B1" s="54" t="n"/>
      <c r="C1" s="54" t="n"/>
      <c r="D1" s="54" t="n"/>
      <c r="E1" s="54" t="n"/>
      <c r="F1" s="54" t="n"/>
    </row>
    <row r="2">
      <c r="A2" s="54" t="inlineStr">
        <is>
          <t>Giả định vận hành ≠ eval thực đo. Các tab gốc giữ nguyên giá trị ngoài ô vàng.</t>
        </is>
      </c>
      <c r="B2" s="54" t="n"/>
      <c r="C2" s="54" t="n"/>
      <c r="D2" s="54" t="n"/>
      <c r="E2" s="54" t="n"/>
      <c r="F2" s="54" t="n"/>
    </row>
    <row r="3">
      <c r="A3" s="54" t="inlineStr">
        <is>
          <t>Key</t>
        </is>
      </c>
      <c r="B3" s="54" t="inlineStr">
        <is>
          <t>Value</t>
        </is>
      </c>
      <c r="C3" s="54" t="inlineStr">
        <is>
          <t>Unit</t>
        </is>
      </c>
      <c r="D3" s="54" t="inlineStr">
        <is>
          <t>Evidence status</t>
        </is>
      </c>
      <c r="E3" s="54" t="inlineStr">
        <is>
          <t>Rationale / verification</t>
        </is>
      </c>
      <c r="F3" s="54" t="inlineStr">
        <is>
          <t>Source</t>
        </is>
      </c>
    </row>
    <row r="4" ht="48" customHeight="1" s="45">
      <c r="A4" s="54" t="inlineStr">
        <is>
          <t>Product</t>
        </is>
      </c>
      <c r="B4" s="55" t="inlineStr">
        <is>
          <t>DevPulse AI</t>
        </is>
      </c>
      <c r="C4" s="54" t="inlineStr">
        <is>
          <t>text</t>
        </is>
      </c>
      <c r="D4" s="54" t="inlineStr">
        <is>
          <t>Day20 specification</t>
        </is>
      </c>
      <c r="E4" s="54" t="inlineStr">
        <is>
          <t>CTO engineering and AI-cost reporting</t>
        </is>
      </c>
      <c r="F4" s="54" t="inlineStr">
        <is>
          <t>data/day20-metrics-pack.md</t>
        </is>
      </c>
    </row>
    <row r="5" ht="48" customHeight="1" s="45">
      <c r="A5" s="54" t="inlineStr">
        <is>
          <t>ICP minimum developers</t>
        </is>
      </c>
      <c r="B5" s="55" t="n">
        <v>20</v>
      </c>
      <c r="C5" s="54" t="inlineStr">
        <is>
          <t>developers</t>
        </is>
      </c>
      <c r="D5" s="54" t="inlineStr">
        <is>
          <t>hypothesis</t>
        </is>
      </c>
      <c r="E5" s="54" t="inlineStr">
        <is>
          <t>Narrow growth-team ICP; validate interviews</t>
        </is>
      </c>
      <c r="F5" s="54" t="inlineStr">
        <is>
          <t>Day20 segments</t>
        </is>
      </c>
    </row>
    <row r="6" ht="48" customHeight="1" s="45">
      <c r="A6" s="54" t="inlineStr">
        <is>
          <t>ICP maximum developers</t>
        </is>
      </c>
      <c r="B6" s="55" t="n">
        <v>50</v>
      </c>
      <c r="C6" s="54" t="inlineStr">
        <is>
          <t>developers</t>
        </is>
      </c>
      <c r="D6" s="54" t="inlineStr">
        <is>
          <t>hypothesis</t>
        </is>
      </c>
      <c r="E6" s="54" t="inlineStr">
        <is>
          <t>Do not claim validated market</t>
        </is>
      </c>
      <c r="F6" s="54" t="inlineStr">
        <is>
          <t>Day20 segments</t>
        </is>
      </c>
    </row>
    <row r="7" ht="48" customHeight="1" s="45">
      <c r="A7" s="54" t="inlineStr">
        <is>
          <t>Budget owner</t>
        </is>
      </c>
      <c r="B7" s="55" t="inlineStr">
        <is>
          <t>CTO; CEO/CFO per approval limit</t>
        </is>
      </c>
      <c r="C7" s="54" t="inlineStr">
        <is>
          <t>text</t>
        </is>
      </c>
      <c r="D7" s="54" t="inlineStr">
        <is>
          <t>hypothesis</t>
        </is>
      </c>
      <c r="E7" s="54" t="inlineStr">
        <is>
          <t>Pilot confirms actual signer</t>
        </is>
      </c>
      <c r="F7" s="54" t="inlineStr">
        <is>
          <t>docs/checkpoints/01-budget-job.md</t>
        </is>
      </c>
    </row>
    <row r="8" ht="48" customHeight="1" s="45">
      <c r="A8" s="54" t="inlineStr">
        <is>
          <t>Budget line</t>
        </is>
      </c>
      <c r="B8" s="55" t="inlineStr">
        <is>
          <t>Engineering Operations / Reporting</t>
        </is>
      </c>
      <c r="C8" s="54" t="inlineStr">
        <is>
          <t>text</t>
        </is>
      </c>
      <c r="D8" s="54" t="inlineStr">
        <is>
          <t>hypothesis</t>
        </is>
      </c>
      <c r="E8" s="54" t="inlineStr">
        <is>
          <t>Time spent consolidating reporting</t>
        </is>
      </c>
      <c r="F8" s="54" t="inlineStr">
        <is>
          <t>docs/checkpoints/01-budget-job.md</t>
        </is>
      </c>
    </row>
    <row r="9" ht="48" customHeight="1" s="45">
      <c r="A9" s="54" t="inlineStr">
        <is>
          <t>Positioning</t>
        </is>
      </c>
      <c r="B9" s="55" t="inlineStr">
        <is>
          <t>Chuẩn bị báo cáo Sprint/tháng có nguồn để CTO giải trình delivery và chi phí AI.</t>
        </is>
      </c>
      <c r="C9" s="54" t="inlineStr">
        <is>
          <t>text</t>
        </is>
      </c>
      <c r="D9" s="54" t="inlineStr">
        <is>
          <t>design</t>
        </is>
      </c>
      <c r="E9" s="54" t="inlineStr">
        <is>
          <t>Not causal ROI outcome</t>
        </is>
      </c>
      <c r="F9" s="54" t="inlineStr">
        <is>
          <t>Day20</t>
        </is>
      </c>
    </row>
    <row r="10" ht="48" customHeight="1" s="45">
      <c r="A10" s="54" t="inlineStr">
        <is>
          <t>Workspace base fee</t>
        </is>
      </c>
      <c r="B10" s="55" t="n">
        <v>39</v>
      </c>
      <c r="C10" s="54" t="inlineStr">
        <is>
          <t>USD/workspace/month</t>
        </is>
      </c>
      <c r="D10" s="54" t="inlineStr">
        <is>
          <t>pricing hypothesis</t>
        </is>
      </c>
      <c r="E10" s="54" t="inlineStr">
        <is>
          <t>Connections, history, standard support; zero included reports</t>
        </is>
      </c>
      <c r="F10" s="54" t="inlineStr">
        <is>
          <t>Decision Note</t>
        </is>
      </c>
    </row>
    <row r="11" ht="48" customHeight="1" s="45">
      <c r="A11" s="54" t="inlineStr">
        <is>
          <t>Reports/customer/month</t>
        </is>
      </c>
      <c r="B11" s="56">
        <f>'2_Pricing'!B11</f>
        <v/>
      </c>
      <c r="C11" s="54" t="inlineStr">
        <is>
          <t>reports</t>
        </is>
      </c>
      <c r="D11" s="54" t="inlineStr">
        <is>
          <t>planning</t>
        </is>
      </c>
      <c r="E11" s="54" t="inlineStr">
        <is>
          <t>2 sprint + 1 board report; average delivered</t>
        </is>
      </c>
      <c r="F11" s="54" t="inlineStr">
        <is>
          <t>Day20 cadence</t>
        </is>
      </c>
    </row>
    <row r="12" ht="48" customHeight="1" s="45">
      <c r="A12" s="54" t="inlineStr">
        <is>
          <t>Planning workspaces</t>
        </is>
      </c>
      <c r="B12" s="55" t="n">
        <v>10</v>
      </c>
      <c r="C12" s="54" t="inlineStr">
        <is>
          <t>workspaces</t>
        </is>
      </c>
      <c r="D12" s="54" t="inlineStr">
        <is>
          <t>hypothesis</t>
        </is>
      </c>
      <c r="E12" s="54" t="inlineStr">
        <is>
          <t>Target steady planning cohort, not current users</t>
        </is>
      </c>
      <c r="F12" s="54" t="inlineStr">
        <is>
          <t>90-day plan</t>
        </is>
      </c>
    </row>
    <row r="13" ht="48" customHeight="1" s="45">
      <c r="A13" s="54" t="inlineStr">
        <is>
          <t>Attempts/workspace/month</t>
        </is>
      </c>
      <c r="B13" s="56">
        <f>'1_Cost_Job'!B9/B12</f>
        <v/>
      </c>
      <c r="C13" s="54" t="inlineStr">
        <is>
          <t>attempts</t>
        </is>
      </c>
      <c r="D13" s="54" t="inlineStr">
        <is>
          <t>derived</t>
        </is>
      </c>
      <c r="E13" s="54" t="inlineStr">
        <is>
          <t>40 attempts allocated to 10 workspaces</t>
        </is>
      </c>
      <c r="F13" s="54" t="inlineStr">
        <is>
          <t>1_Cost_Job!B9</t>
        </is>
      </c>
    </row>
    <row r="14" ht="48" customHeight="1" s="45">
      <c r="A14" s="54" t="inlineStr">
        <is>
          <t>Data coverage gate</t>
        </is>
      </c>
      <c r="B14" s="55" t="n">
        <v>0.8</v>
      </c>
      <c r="C14" s="54" t="inlineStr">
        <is>
          <t>fraction</t>
        </is>
      </c>
      <c r="D14" s="54" t="inlineStr">
        <is>
          <t>design</t>
        </is>
      </c>
      <c r="E14" s="54" t="inlineStr">
        <is>
          <t>Coverage of active developers; suppress report if missing ledger</t>
        </is>
      </c>
      <c r="F14" s="54" t="inlineStr">
        <is>
          <t>Day20 NSM</t>
        </is>
      </c>
    </row>
    <row r="15" ht="48" customHeight="1" s="45">
      <c r="A15" s="54" t="inlineStr">
        <is>
          <t>Internal QA sample</t>
        </is>
      </c>
      <c r="B15" s="56">
        <f>'1_Cost_Job'!B51</f>
        <v/>
      </c>
      <c r="C15" s="54" t="inlineStr">
        <is>
          <t>fraction</t>
        </is>
      </c>
      <c r="D15" s="54" t="inlineStr">
        <is>
          <t>hypothesis</t>
        </is>
      </c>
      <c r="E15" s="54" t="inlineStr">
        <is>
          <t>25% sample while early; customer final review every report</t>
        </is>
      </c>
      <c r="F15" s="54" t="inlineStr">
        <is>
          <t>1_Cost_Job!B51</t>
        </is>
      </c>
    </row>
    <row r="16" ht="48" customHeight="1" s="45">
      <c r="A16" s="54" t="inlineStr">
        <is>
          <t>Customer review minutes</t>
        </is>
      </c>
      <c r="B16" s="55" t="n">
        <v>30</v>
      </c>
      <c r="C16" s="54" t="inlineStr">
        <is>
          <t>minutes/report</t>
        </is>
      </c>
      <c r="D16" s="54" t="inlineStr">
        <is>
          <t>Day20 specification</t>
        </is>
      </c>
      <c r="E16" s="54" t="inlineStr">
        <is>
          <t>Not replaced by AI; cost borne by customer</t>
        </is>
      </c>
      <c r="F16" s="54" t="inlineStr">
        <is>
          <t>Day20 action effort 15–30min</t>
        </is>
      </c>
    </row>
    <row r="17" ht="48" customHeight="1" s="45">
      <c r="A17" s="54" t="inlineStr">
        <is>
          <t>Net preparation hours saved/report</t>
        </is>
      </c>
      <c r="B17" s="55" t="n">
        <v>10</v>
      </c>
      <c r="C17" s="54" t="inlineStr">
        <is>
          <t>hours</t>
        </is>
      </c>
      <c r="D17" s="54" t="inlineStr">
        <is>
          <t>hypothesis</t>
        </is>
      </c>
      <c r="E17" s="54" t="inlineStr">
        <is>
          <t>Excludes final CTO review; stopwatch before/after</t>
        </is>
      </c>
      <c r="F17" s="54" t="inlineStr">
        <is>
          <t>Pilot Protocol</t>
        </is>
      </c>
    </row>
    <row r="18" ht="48" customHeight="1" s="45">
      <c r="A18" s="54" t="inlineStr">
        <is>
          <t>Customer preparation labor</t>
        </is>
      </c>
      <c r="B18" s="55" t="n">
        <v>40</v>
      </c>
      <c r="C18" s="54" t="inlineStr">
        <is>
          <t>USD/hour</t>
        </is>
      </c>
      <c r="D18" s="54" t="inlineStr">
        <is>
          <t>hypothesis</t>
        </is>
      </c>
      <c r="E18" s="54" t="inlineStr">
        <is>
          <t>Fully loaded lead/analyst time; no wage benchmark claim</t>
        </is>
      </c>
      <c r="F18" s="54" t="inlineStr">
        <is>
          <t>Pilot interview required</t>
        </is>
      </c>
    </row>
    <row r="19" ht="48" customHeight="1" s="45">
      <c r="A19" s="54" t="inlineStr">
        <is>
          <t>Monthly value anchor</t>
        </is>
      </c>
      <c r="B19" s="56">
        <f>B11*B17*B18</f>
        <v/>
      </c>
      <c r="C19" s="54" t="inlineStr">
        <is>
          <t>USD/month</t>
        </is>
      </c>
      <c r="D19" s="54" t="inlineStr">
        <is>
          <t>derived estimate</t>
        </is>
      </c>
      <c r="E19" s="54" t="inlineStr">
        <is>
          <t>No double-counting token or productivity savings</t>
        </is>
      </c>
      <c r="F19" s="54" t="inlineStr">
        <is>
          <t>2_Pricing!B10</t>
        </is>
      </c>
    </row>
    <row r="20" ht="48" customHeight="1" s="45">
      <c r="A20" s="54" t="inlineStr">
        <is>
          <t>Reporting role wage</t>
        </is>
      </c>
      <c r="B20" s="56">
        <f>'2_Pricing'!B14</f>
        <v/>
      </c>
      <c r="C20" s="54" t="inlineStr">
        <is>
          <t>USD/month</t>
        </is>
      </c>
      <c r="D20" s="54" t="inlineStr">
        <is>
          <t>hypothesis</t>
        </is>
      </c>
      <c r="E20" s="54" t="inlineStr">
        <is>
          <t>Secondary anchor only; no whole role replacement claim</t>
        </is>
      </c>
      <c r="F20" s="54" t="inlineStr">
        <is>
          <t>2_Pricing!B14</t>
        </is>
      </c>
    </row>
    <row r="21" ht="48" customHeight="1" s="45">
      <c r="A21" s="54" t="inlineStr">
        <is>
          <t>Monthly vendor COGS</t>
        </is>
      </c>
      <c r="B21" s="56">
        <f>'1_Cost_Job'!B62+'1_Cost_Job'!B63</f>
        <v/>
      </c>
      <c r="C21" s="54" t="inlineStr">
        <is>
          <t>USD/month</t>
        </is>
      </c>
      <c r="D21" s="54" t="inlineStr">
        <is>
          <t>derived</t>
        </is>
      </c>
      <c r="E21" s="54" t="inlineStr">
        <is>
          <t>All direct service costs</t>
        </is>
      </c>
      <c r="F21" s="54" t="inlineStr">
        <is>
          <t>1_Cost_Job</t>
        </is>
      </c>
    </row>
    <row r="22" ht="48" customHeight="1" s="45">
      <c r="A22" s="54" t="inlineStr">
        <is>
          <t>Monthly cohort revenue</t>
        </is>
      </c>
      <c r="B22" s="56">
        <f>B12*(B10+B11*'2_Pricing'!B19)</f>
        <v/>
      </c>
      <c r="C22" s="54" t="inlineStr">
        <is>
          <t>USD/month</t>
        </is>
      </c>
      <c r="D22" s="54" t="inlineStr">
        <is>
          <t>derived forecast</t>
        </is>
      </c>
      <c r="E22" s="54" t="inlineStr">
        <is>
          <t>Base is additional, no included-report double charge</t>
        </is>
      </c>
      <c r="F22" s="54" t="inlineStr">
        <is>
          <t>Hybrid pricing</t>
        </is>
      </c>
    </row>
    <row r="23" ht="48" customHeight="1" s="45">
      <c r="A23" s="54" t="inlineStr">
        <is>
          <t>Blended cohort GM</t>
        </is>
      </c>
      <c r="B23" s="56">
        <f>1-B21/B22</f>
        <v/>
      </c>
      <c r="C23" s="54" t="inlineStr">
        <is>
          <t>fraction</t>
        </is>
      </c>
      <c r="D23" s="54" t="inlineStr">
        <is>
          <t>derived forecast</t>
        </is>
      </c>
      <c r="E23" s="54" t="inlineStr">
        <is>
          <t>COGS includes workspace service; show separately from report GM</t>
        </is>
      </c>
      <c r="F23" s="54" t="inlineStr">
        <is>
          <t>B21:B22</t>
        </is>
      </c>
    </row>
    <row r="24" ht="48" customHeight="1" s="45">
      <c r="A24" s="54" t="inlineStr">
        <is>
          <t>Fully loaded Cost/Job</t>
        </is>
      </c>
      <c r="B24" s="56">
        <f>'1_Cost_Job'!B67</f>
        <v/>
      </c>
      <c r="C24" s="54" t="inlineStr">
        <is>
          <t>USD/report</t>
        </is>
      </c>
      <c r="D24" s="54" t="inlineStr">
        <is>
          <t>derived</t>
        </is>
      </c>
      <c r="E24" s="54" t="inlineStr">
        <is>
          <t>Overhead not included in gross margin</t>
        </is>
      </c>
      <c r="F24" s="54" t="inlineStr">
        <is>
          <t>1_Cost_Job!B67</t>
        </is>
      </c>
    </row>
    <row r="25" ht="48" customHeight="1" s="45">
      <c r="A25" s="54" t="inlineStr">
        <is>
          <t>ARPU</t>
        </is>
      </c>
      <c r="B25" s="56">
        <f>B10+B11*'2_Pricing'!B19</f>
        <v/>
      </c>
      <c r="C25" s="54" t="inlineStr">
        <is>
          <t>USD/month</t>
        </is>
      </c>
      <c r="D25" s="54" t="inlineStr">
        <is>
          <t>derived forecast</t>
        </is>
      </c>
      <c r="E25" s="54" t="inlineStr">
        <is>
          <t>39 base + 3×60 reports</t>
        </is>
      </c>
      <c r="F25" s="54" t="inlineStr">
        <is>
          <t>B10:B11</t>
        </is>
      </c>
    </row>
    <row r="26" ht="48" customHeight="1" s="45">
      <c r="A26" s="54" t="inlineStr">
        <is>
          <t>Conservative channel GM</t>
        </is>
      </c>
      <c r="B26" s="56">
        <f>'2_Pricing'!B21</f>
        <v/>
      </c>
      <c r="C26" s="54" t="inlineStr">
        <is>
          <t>fraction</t>
        </is>
      </c>
      <c r="D26" s="54" t="inlineStr">
        <is>
          <t>derived</t>
        </is>
      </c>
      <c r="E26" s="54" t="inlineStr">
        <is>
          <t>Use report GM, lower than blended; conservative CAC cap</t>
        </is>
      </c>
      <c r="F26" s="54" t="inlineStr">
        <is>
          <t>2_Pricing!B21</t>
        </is>
      </c>
    </row>
    <row r="27" ht="48" customHeight="1" s="45">
      <c r="A27" s="54" t="inlineStr">
        <is>
          <t>CAC budget</t>
        </is>
      </c>
      <c r="B27" s="56">
        <f>'4_Channel_Fit'!B9</f>
        <v/>
      </c>
      <c r="C27" s="54" t="inlineStr">
        <is>
          <t>USD/customer</t>
        </is>
      </c>
      <c r="D27" s="54" t="inlineStr">
        <is>
          <t>derived</t>
        </is>
      </c>
      <c r="E27" s="54" t="inlineStr">
        <is>
          <t>SMB 12-month ceiling is lab convention, not proved retention</t>
        </is>
      </c>
      <c r="F27" s="54" t="inlineStr">
        <is>
          <t>4_Channel_Fit!B9</t>
        </is>
      </c>
    </row>
    <row r="28" ht="48" customHeight="1" s="45">
      <c r="A28" s="54" t="inlineStr">
        <is>
          <t>PLG acquisition spend</t>
        </is>
      </c>
      <c r="B28" s="55" t="n">
        <v>1200</v>
      </c>
      <c r="C28" s="54" t="inlineStr">
        <is>
          <t>USD/90days</t>
        </is>
      </c>
      <c r="D28" s="54" t="inlineStr">
        <is>
          <t>hypothesis</t>
        </is>
      </c>
      <c r="E28" s="54" t="inlineStr">
        <is>
          <t>$800 founder content (40h×$20) + $200 content tools + $200 placement</t>
        </is>
      </c>
      <c r="F28" s="54" t="inlineStr">
        <is>
          <t>No actual spend</t>
        </is>
      </c>
    </row>
    <row r="29" ht="48" customHeight="1" s="45">
      <c r="A29" s="54" t="inlineStr">
        <is>
          <t>GitHub App installs</t>
        </is>
      </c>
      <c r="B29" s="55" t="n">
        <v>60</v>
      </c>
      <c r="C29" s="54" t="inlineStr">
        <is>
          <t>installs/90days</t>
        </is>
      </c>
      <c r="D29" s="54" t="inlineStr">
        <is>
          <t>target</t>
        </is>
      </c>
      <c r="E29" s="54" t="inlineStr">
        <is>
          <t>Qualified org installations, not pageviews</t>
        </is>
      </c>
      <c r="F29" s="54" t="inlineStr">
        <is>
          <t>No actual installs</t>
        </is>
      </c>
    </row>
    <row r="30" ht="48" customHeight="1" s="45">
      <c r="A30" s="54" t="inlineStr">
        <is>
          <t>Activation rate</t>
        </is>
      </c>
      <c r="B30" s="55" t="n">
        <v>0.2</v>
      </c>
      <c r="C30" s="54" t="inlineStr">
        <is>
          <t>fraction</t>
        </is>
      </c>
      <c r="D30" s="54" t="inlineStr">
        <is>
          <t>hypothesis</t>
        </is>
      </c>
      <c r="E30" s="54" t="inlineStr">
        <is>
          <t>First AI-ready report within 14 days</t>
        </is>
      </c>
      <c r="F30" s="54" t="inlineStr">
        <is>
          <t>Pilot funnel</t>
        </is>
      </c>
    </row>
    <row r="31" ht="48" customHeight="1" s="45">
      <c r="A31" s="54" t="inlineStr">
        <is>
          <t>Activation to paid</t>
        </is>
      </c>
      <c r="B31" s="55" t="n">
        <v>0.25</v>
      </c>
      <c r="C31" s="54" t="inlineStr">
        <is>
          <t>fraction</t>
        </is>
      </c>
      <c r="D31" s="54" t="inlineStr">
        <is>
          <t>hypothesis</t>
        </is>
      </c>
      <c r="E31" s="54" t="inlineStr">
        <is>
          <t>3 paid from 12 activated</t>
        </is>
      </c>
      <c r="F31" s="54" t="inlineStr">
        <is>
          <t>Pilot funnel</t>
        </is>
      </c>
    </row>
    <row r="32" ht="48" customHeight="1" s="45">
      <c r="A32" s="54" t="inlineStr">
        <is>
          <t>PLG paid customers</t>
        </is>
      </c>
      <c r="B32" s="56">
        <f>B29*B30*B31</f>
        <v/>
      </c>
      <c r="C32" s="54" t="inlineStr">
        <is>
          <t>customers</t>
        </is>
      </c>
      <c r="D32" s="54" t="inlineStr">
        <is>
          <t>derived target</t>
        </is>
      </c>
      <c r="E32" s="54" t="inlineStr">
        <is>
          <t>No sales rep or partner commission</t>
        </is>
      </c>
      <c r="F32" s="54" t="inlineStr">
        <is>
          <t>B29:B31</t>
        </is>
      </c>
    </row>
    <row r="33" ht="48" customHeight="1" s="45">
      <c r="A33" s="54" t="inlineStr">
        <is>
          <t>PLG CAC</t>
        </is>
      </c>
      <c r="B33" s="56">
        <f>B28/B32</f>
        <v/>
      </c>
      <c r="C33" s="54" t="inlineStr">
        <is>
          <t>USD/customer</t>
        </is>
      </c>
      <c r="D33" s="54" t="inlineStr">
        <is>
          <t>derived estimate</t>
        </is>
      </c>
      <c r="E33" s="54" t="inlineStr">
        <is>
          <t>Includes founder time and free trial service allowance</t>
        </is>
      </c>
      <c r="F33" s="54" t="inlineStr">
        <is>
          <t>B28:B32</t>
        </is>
      </c>
    </row>
    <row r="34" ht="48" customHeight="1" s="45">
      <c r="A34" s="54" t="inlineStr">
        <is>
          <t>PLG payback months</t>
        </is>
      </c>
      <c r="B34" s="56">
        <f>B33/('4_Channel_Fit'!B5*'4_Channel_Fit'!B6)</f>
        <v/>
      </c>
      <c r="C34" s="54" t="inlineStr">
        <is>
          <t>months</t>
        </is>
      </c>
      <c r="D34" s="54" t="inlineStr">
        <is>
          <t>derived estimate</t>
        </is>
      </c>
      <c r="E34" s="54" t="inlineStr">
        <is>
          <t>Use conservative report GM</t>
        </is>
      </c>
      <c r="F34" s="54" t="inlineStr">
        <is>
          <t>4_Channel_Fit!B5:B6</t>
        </is>
      </c>
    </row>
    <row r="35" ht="48" customHeight="1" s="45">
      <c r="A35" s="54" t="inlineStr">
        <is>
          <t>PLG operating CAC stop threshold</t>
        </is>
      </c>
      <c r="B35" s="55" t="n">
        <v>400</v>
      </c>
      <c r="C35" s="54" t="inlineStr">
        <is>
          <t>USD/customer</t>
        </is>
      </c>
      <c r="D35" s="54" t="inlineStr">
        <is>
          <t>decision hypothesis</t>
        </is>
      </c>
      <c r="E35" s="54" t="inlineStr">
        <is>
          <t>Pause paid acquisition above $400 until conversion measured</t>
        </is>
      </c>
      <c r="F35" s="54" t="inlineStr">
        <is>
          <t>PLG plan</t>
        </is>
      </c>
    </row>
    <row r="36" ht="48" customHeight="1" s="45">
      <c r="A36" s="54" t="inlineStr">
        <is>
          <t>Shared service monthly floor</t>
        </is>
      </c>
      <c r="B36" s="55" t="n">
        <v>80</v>
      </c>
      <c r="C36" s="54" t="inlineStr">
        <is>
          <t>USD/month</t>
        </is>
      </c>
      <c r="D36" s="54" t="inlineStr">
        <is>
          <t>hypothesis</t>
        </is>
      </c>
      <c r="E36" s="54" t="inlineStr">
        <is>
          <t>Hosting, auth and connectors minimum; requires invoice</t>
        </is>
      </c>
      <c r="F36" s="54" t="inlineStr">
        <is>
          <t>Infra estimate</t>
        </is>
      </c>
    </row>
    <row r="37" ht="48" customHeight="1" s="45">
      <c r="A37" s="54" t="inlineStr">
        <is>
          <t>Infra variable/attempt</t>
        </is>
      </c>
      <c r="B37" s="55" t="n">
        <v>8</v>
      </c>
      <c r="C37" s="54" t="inlineStr">
        <is>
          <t>USD/attempt</t>
        </is>
      </c>
      <c r="D37" s="54" t="inlineStr">
        <is>
          <t>hypothesis</t>
        </is>
      </c>
      <c r="E37" s="54" t="inlineStr">
        <is>
          <t>$3 ingestion/DB + $1 storage/egress + $1 logging/eval + $1.5 support + $1.5 collection/reserve</t>
        </is>
      </c>
      <c r="F37" s="54" t="inlineStr">
        <is>
          <t>Infra estimate</t>
        </is>
      </c>
    </row>
    <row r="38" ht="48" customHeight="1" s="45">
      <c r="A38" s="54" t="inlineStr">
        <is>
          <t>Vendor QA minutes</t>
        </is>
      </c>
      <c r="B38" s="56">
        <f>'1_Cost_Job'!B52</f>
        <v/>
      </c>
      <c r="C38" s="54" t="inlineStr">
        <is>
          <t>minutes</t>
        </is>
      </c>
      <c r="D38" s="54" t="inlineStr">
        <is>
          <t>hypothesis</t>
        </is>
      </c>
      <c r="E38" s="54" t="inlineStr">
        <is>
          <t>Early sample review of evidence links and numerical accuracy</t>
        </is>
      </c>
      <c r="F38" s="54" t="inlineStr">
        <is>
          <t>QA plan</t>
        </is>
      </c>
    </row>
    <row r="39" ht="48" customHeight="1" s="45">
      <c r="A39" s="54" t="inlineStr">
        <is>
          <t>Vendor fully loaded hourly rate</t>
        </is>
      </c>
      <c r="B39" s="56">
        <f>'1_Cost_Job'!B50</f>
        <v/>
      </c>
      <c r="C39" s="54" t="inlineStr">
        <is>
          <t>USD/hour</t>
        </is>
      </c>
      <c r="D39" s="54" t="inlineStr">
        <is>
          <t>hypothesis</t>
        </is>
      </c>
      <c r="E39" s="54" t="inlineStr">
        <is>
          <t>Labor estimate including burden</t>
        </is>
      </c>
      <c r="F39" s="54" t="inlineStr">
        <is>
          <t>QA plan</t>
        </is>
      </c>
    </row>
    <row r="40" ht="48" customHeight="1" s="45">
      <c r="A40" s="54" t="inlineStr">
        <is>
          <t>Rep motion total annual acquisition cost</t>
        </is>
      </c>
      <c r="B40" s="55" t="n">
        <v>48000</v>
      </c>
      <c r="C40" s="54" t="inlineStr">
        <is>
          <t>USD/year</t>
        </is>
      </c>
      <c r="D40" s="54" t="inlineStr">
        <is>
          <t>hypothesis</t>
        </is>
      </c>
      <c r="E40" s="54" t="inlineStr">
        <is>
          <t>$24k AE + $12k marketing + $12k tools/management; fully loaded, local scenario</t>
        </is>
      </c>
      <c r="F40" s="54" t="inlineStr">
        <is>
          <t>Not ICONIQ benchmark</t>
        </is>
      </c>
    </row>
    <row r="41" ht="48" customHeight="1" s="45">
      <c r="A41" s="54" t="inlineStr">
        <is>
          <t>Rep qualified opportunities/year</t>
        </is>
      </c>
      <c r="B41" s="55" t="n">
        <v>40</v>
      </c>
      <c r="C41" s="54" t="inlineStr">
        <is>
          <t>opportunities</t>
        </is>
      </c>
      <c r="D41" s="54" t="inlineStr">
        <is>
          <t>hypothesis</t>
        </is>
      </c>
      <c r="E41" s="54" t="inlineStr">
        <is>
          <t>Low-velocity technical approval; replaces unknown external CPO</t>
        </is>
      </c>
      <c r="F41" s="54" t="inlineStr">
        <is>
          <t>Local scenario</t>
        </is>
      </c>
    </row>
    <row r="42" ht="48" customHeight="1" s="45">
      <c r="A42" s="54" t="inlineStr">
        <is>
          <t>Rep cost/opportunity</t>
        </is>
      </c>
      <c r="B42" s="56">
        <f>B40/B41</f>
        <v/>
      </c>
      <c r="C42" s="54" t="inlineStr">
        <is>
          <t>USD/opportunity</t>
        </is>
      </c>
      <c r="D42" s="54" t="inlineStr">
        <is>
          <t>derived estimate</t>
        </is>
      </c>
      <c r="E42" s="54" t="inlineStr">
        <is>
          <t>Full acquisition cost divided by qualified opportunities</t>
        </is>
      </c>
      <c r="F42" s="54" t="inlineStr">
        <is>
          <t>B40:B41</t>
        </is>
      </c>
    </row>
    <row r="43" ht="48" customHeight="1" s="45">
      <c r="A43" s="54" t="inlineStr">
        <is>
          <t>Rep win rate</t>
        </is>
      </c>
      <c r="B43" s="55" t="n">
        <v>0.25</v>
      </c>
      <c r="C43" s="54" t="inlineStr">
        <is>
          <t>fraction</t>
        </is>
      </c>
      <c r="D43" s="54" t="inlineStr">
        <is>
          <t>hypothesis</t>
        </is>
      </c>
      <c r="E43" s="54" t="inlineStr">
        <is>
          <t>10 wins from 40 opportunities</t>
        </is>
      </c>
      <c r="F43" s="54" t="inlineStr">
        <is>
          <t>Local scenario</t>
        </is>
      </c>
    </row>
    <row r="44" ht="48" customHeight="1" s="45">
      <c r="A44" s="54" t="inlineStr">
        <is>
          <t>Rep CAC</t>
        </is>
      </c>
      <c r="B44" s="56">
        <f>B42/B43</f>
        <v/>
      </c>
      <c r="C44" s="54" t="inlineStr">
        <is>
          <t>USD/customer</t>
        </is>
      </c>
      <c r="D44" s="54" t="inlineStr">
        <is>
          <t>derived estimate</t>
        </is>
      </c>
      <c r="E44" s="54" t="inlineStr">
        <is>
          <t>Not measured or third-party industry statistic</t>
        </is>
      </c>
      <c r="F44" s="54" t="inlineStr">
        <is>
          <t>B42:B43</t>
        </is>
      </c>
    </row>
    <row r="45" ht="48" customHeight="1" s="45">
      <c r="A45" s="54" t="inlineStr">
        <is>
          <t>AE annual quota</t>
        </is>
      </c>
      <c r="B45" s="55" t="n">
        <v>120000</v>
      </c>
      <c r="C45" s="54" t="inlineStr">
        <is>
          <t>USD/year</t>
        </is>
      </c>
      <c r="D45" s="54" t="inlineStr">
        <is>
          <t>hypothesis</t>
        </is>
      </c>
      <c r="E45" s="54" t="inlineStr">
        <is>
          <t>5× $24k fully loaded cost; conventional planning ratio, not benchmark</t>
        </is>
      </c>
      <c r="F45" s="54" t="inlineStr">
        <is>
          <t>Sales scenario</t>
        </is>
      </c>
    </row>
    <row r="46" ht="48" customHeight="1" s="45">
      <c r="A46" s="54" t="inlineStr">
        <is>
          <t>AE annual fully loaded cost</t>
        </is>
      </c>
      <c r="B46" s="55" t="n">
        <v>24000</v>
      </c>
      <c r="C46" s="54" t="inlineStr">
        <is>
          <t>USD/year</t>
        </is>
      </c>
      <c r="D46" s="54" t="inlineStr">
        <is>
          <t>hypothesis</t>
        </is>
      </c>
      <c r="E46" s="54" t="inlineStr">
        <is>
          <t>$2,000/month inclusive burden; not actual payroll</t>
        </is>
      </c>
      <c r="F46" s="54" t="inlineStr">
        <is>
          <t>Sales scenario</t>
        </is>
      </c>
    </row>
    <row r="47" ht="48" customHeight="1" s="45">
      <c r="A47" s="54" t="inlineStr">
        <is>
          <t>Working days/year</t>
        </is>
      </c>
      <c r="B47" s="55" t="n">
        <v>250</v>
      </c>
      <c r="C47" s="54" t="inlineStr">
        <is>
          <t>days</t>
        </is>
      </c>
      <c r="D47" s="54" t="inlineStr">
        <is>
          <t>hypothesis</t>
        </is>
      </c>
      <c r="E47" s="54" t="inlineStr">
        <is>
          <t>Lab working-year assumption</t>
        </is>
      </c>
      <c r="F47" s="54" t="inlineStr">
        <is>
          <t>Channel inputs</t>
        </is>
      </c>
    </row>
    <row r="48" ht="48" customHeight="1" s="45">
      <c r="A48" s="54" t="inlineStr">
        <is>
          <t>Total value-based monthly ceiling</t>
        </is>
      </c>
      <c r="B48" s="56">
        <f>'2_Pricing'!B10*0.25</f>
        <v/>
      </c>
      <c r="C48" s="54" t="inlineStr">
        <is>
          <t>USD/month</t>
        </is>
      </c>
      <c r="D48" s="54" t="inlineStr">
        <is>
          <t>derived hypothesis</t>
        </is>
      </c>
      <c r="E48" s="54" t="inlineStr">
        <is>
          <t>25% of value; all-in bill must fit, including base fee</t>
        </is>
      </c>
      <c r="F48" s="54" t="inlineStr">
        <is>
          <t>2_Pricing!B10</t>
        </is>
      </c>
    </row>
    <row r="49" ht="48" customHeight="1" s="45">
      <c r="A49" s="54" t="inlineStr">
        <is>
          <t>Overhead/month</t>
        </is>
      </c>
      <c r="B49" s="56">
        <f>'1_Cost_Job'!B59</f>
        <v/>
      </c>
      <c r="C49" s="54" t="inlineStr">
        <is>
          <t>USD/month</t>
        </is>
      </c>
      <c r="D49" s="54" t="inlineStr">
        <is>
          <t>hypothesis</t>
        </is>
      </c>
      <c r="E49" s="54" t="inlineStr">
        <is>
          <t>Product upkeep and admin, excludes CAC and direct support</t>
        </is>
      </c>
      <c r="F49" s="54" t="inlineStr">
        <is>
          <t>1_Cost_Job!B59</t>
        </is>
      </c>
    </row>
    <row r="50" ht="48" customHeight="1" s="45">
      <c r="A50" s="54" t="inlineStr">
        <is>
          <t>All-in baseline customer bill</t>
        </is>
      </c>
      <c r="B50" s="56">
        <f>B25</f>
        <v/>
      </c>
      <c r="C50" s="54" t="inlineStr">
        <is>
          <t>USD/month</t>
        </is>
      </c>
      <c r="D50" s="54" t="inlineStr">
        <is>
          <t>pricing hypothesis</t>
        </is>
      </c>
      <c r="E50" s="54" t="inlineStr">
        <is>
          <t>Opt-in before overage; no auto unlimited retries</t>
        </is>
      </c>
      <c r="F50" s="54" t="inlineStr">
        <is>
          <t>B25</t>
        </is>
      </c>
    </row>
    <row r="51" ht="48" customHeight="1" s="45">
      <c r="A51" s="54" t="inlineStr">
        <is>
          <t>USD/VND sell quote</t>
        </is>
      </c>
      <c r="B51" s="56">
        <f>'1_Cost_Job'!B68</f>
        <v/>
      </c>
      <c r="C51" s="54" t="inlineStr">
        <is>
          <t>VND/USD</t>
        </is>
      </c>
      <c r="D51" s="54" t="inlineStr">
        <is>
          <t>verified 2026-10-08</t>
        </is>
      </c>
      <c r="E51" s="54" t="inlineStr">
        <is>
          <t>VCB XML published 12:13:07 PM</t>
        </is>
      </c>
      <c r="F51" s="54" t="inlineStr">
        <is>
          <t>data/sources.json#vietcombank</t>
        </is>
      </c>
    </row>
    <row r="52" ht="48" customHeight="1" s="45">
      <c r="A52" s="54" t="inlineStr">
        <is>
          <t>Price/source check date</t>
        </is>
      </c>
      <c r="B52" s="55" t="inlineStr">
        <is>
          <t>2026-10-08</t>
        </is>
      </c>
      <c r="C52" s="54" t="inlineStr">
        <is>
          <t>date</t>
        </is>
      </c>
      <c r="D52" s="54" t="inlineStr">
        <is>
          <t>verified</t>
        </is>
      </c>
      <c r="E52" s="54" t="inlineStr">
        <is>
          <t>Chosen vendor and peers; not all historical rows</t>
        </is>
      </c>
      <c r="F52" s="54" t="inlineStr">
        <is>
          <t>data/sources.json</t>
        </is>
      </c>
    </row>
    <row r="53" ht="48" customHeight="1" s="45">
      <c r="A53" s="54" t="inlineStr">
        <is>
          <t>GM50 containment threshold</t>
        </is>
      </c>
      <c r="B53" s="56">
        <f>('2_Pricing'!B29+'2_Pricing'!B30)/('2_Pricing'!B19*0.5)</f>
        <v/>
      </c>
      <c r="C53" s="54" t="inlineStr">
        <is>
          <t>fraction</t>
        </is>
      </c>
      <c r="D53" s="54" t="inlineStr">
        <is>
          <t>derived A-only</t>
        </is>
      </c>
      <c r="E53" s="54" t="inlineStr">
        <is>
          <t>Below this threshold report GM &lt;50%</t>
        </is>
      </c>
      <c r="F53" s="54" t="inlineStr">
        <is>
          <t>2_Pricing!B29:B30</t>
        </is>
      </c>
    </row>
    <row r="54" ht="48" customHeight="1" s="45">
      <c r="A54" s="54" t="inlineStr">
        <is>
          <t>GM60 containment threshold</t>
        </is>
      </c>
      <c r="B54" s="56">
        <f>'2_Pricing'!B33</f>
        <v/>
      </c>
      <c r="C54" s="54" t="inlineStr">
        <is>
          <t>fraction</t>
        </is>
      </c>
      <c r="D54" s="54" t="inlineStr">
        <is>
          <t>derived</t>
        </is>
      </c>
      <c r="E54" s="54" t="inlineStr">
        <is>
          <t>Not accounting breakeven GM=0; healthy-margin floor</t>
        </is>
      </c>
      <c r="F54" s="54" t="inlineStr">
        <is>
          <t>2_Pricing!B33</t>
        </is>
      </c>
    </row>
    <row r="55" ht="48" customHeight="1" s="45">
      <c r="A55" s="54" t="inlineStr">
        <is>
          <t>Monthly report cadence</t>
        </is>
      </c>
      <c r="B55" s="55" t="inlineStr">
        <is>
          <t>2 Sprint + 1 Board</t>
        </is>
      </c>
      <c r="C55" s="54" t="inlineStr">
        <is>
          <t>reports/month</t>
        </is>
      </c>
      <c r="D55" s="54" t="inlineStr">
        <is>
          <t>Day20 target</t>
        </is>
      </c>
      <c r="E55" s="54" t="inlineStr">
        <is>
          <t>Mean completed preparation jobs =3/workspace</t>
        </is>
      </c>
      <c r="F55" s="54" t="inlineStr">
        <is>
          <t>Day20 engagement</t>
        </is>
      </c>
    </row>
    <row r="56" ht="48" customHeight="1" s="45">
      <c r="A56" s="54" t="inlineStr">
        <is>
          <t>Trial/activation window</t>
        </is>
      </c>
      <c r="B56" s="55" t="n">
        <v>14</v>
      </c>
      <c r="C56" s="54" t="inlineStr">
        <is>
          <t>days</t>
        </is>
      </c>
      <c r="D56" s="54" t="inlineStr">
        <is>
          <t>design target</t>
        </is>
      </c>
      <c r="E56" s="54" t="inlineStr">
        <is>
          <t>One small redacted report; no unlimited full-history trial</t>
        </is>
      </c>
      <c r="F56" s="54" t="inlineStr">
        <is>
          <t>Day20 activation</t>
        </is>
      </c>
    </row>
    <row r="57" ht="48" customHeight="1" s="45">
      <c r="A57" s="54" t="inlineStr">
        <is>
          <t>Attempt quota/workspace/month</t>
        </is>
      </c>
      <c r="B57" s="55" t="n">
        <v>8</v>
      </c>
      <c r="C57" s="54" t="inlineStr">
        <is>
          <t>attempts</t>
        </is>
      </c>
      <c r="D57" s="54" t="inlineStr">
        <is>
          <t>design proposal</t>
        </is>
      </c>
      <c r="E57" s="54" t="inlineStr">
        <is>
          <t>Alerts then pause; user approves revised quota/price</t>
        </is>
      </c>
      <c r="F57" s="54" t="inlineStr">
        <is>
          <t>Usage guardrail</t>
        </is>
      </c>
    </row>
    <row r="58" ht="48" customHeight="1" s="45">
      <c r="A58" s="54" t="inlineStr">
        <is>
          <t>Dataset PR limit/workspace/month</t>
        </is>
      </c>
      <c r="B58" s="55" t="n">
        <v>1000</v>
      </c>
      <c r="C58" s="54" t="inlineStr">
        <is>
          <t>PR metadata records</t>
        </is>
      </c>
      <c r="D58" s="54" t="inlineStr">
        <is>
          <t>design proposal</t>
        </is>
      </c>
      <c r="E58" s="54" t="inlineStr">
        <is>
          <t>Beyond limit: no silent ingestion or overage</t>
        </is>
      </c>
      <c r="F58" s="54" t="inlineStr">
        <is>
          <t>Usage guardrail</t>
        </is>
      </c>
    </row>
    <row r="59" ht="48" customHeight="1" s="45">
      <c r="A59" s="54" t="inlineStr">
        <is>
          <t>Raw metadata retention</t>
        </is>
      </c>
      <c r="B59" s="55" t="n">
        <v>90</v>
      </c>
      <c r="C59" s="54" t="inlineStr">
        <is>
          <t>days</t>
        </is>
      </c>
      <c r="D59" s="54" t="inlineStr">
        <is>
          <t>policy proposal</t>
        </is>
      </c>
      <c r="E59" s="54" t="inlineStr">
        <is>
          <t>Must verify export/deletion before pilot; not implemented claim</t>
        </is>
      </c>
      <c r="F59" s="54" t="inlineStr">
        <is>
          <t>Procurement Q&amp;A</t>
        </is>
      </c>
    </row>
    <row r="60" ht="48" customHeight="1" s="45">
      <c r="A60" s="54" t="inlineStr">
        <is>
          <t>Pilot orgs</t>
        </is>
      </c>
      <c r="B60" s="55" t="n">
        <v>3</v>
      </c>
      <c r="C60" s="54" t="inlineStr">
        <is>
          <t>organizations</t>
        </is>
      </c>
      <c r="D60" s="54" t="inlineStr">
        <is>
          <t>target</t>
        </is>
      </c>
      <c r="E60" s="54" t="inlineStr">
        <is>
          <t>Candidates not named yet; recruit voluntarily via PLG</t>
        </is>
      </c>
      <c r="F60" s="54" t="inlineStr">
        <is>
          <t>5_90Day_Plan!B13</t>
        </is>
      </c>
    </row>
    <row r="61" ht="48" customHeight="1" s="45">
      <c r="A61" s="54" t="inlineStr">
        <is>
          <t>Pilot duration</t>
        </is>
      </c>
      <c r="B61" s="55" t="n">
        <v>4</v>
      </c>
      <c r="C61" s="54" t="inlineStr">
        <is>
          <t>weeks</t>
        </is>
      </c>
      <c r="D61" s="54" t="inlineStr">
        <is>
          <t>target</t>
        </is>
      </c>
      <c r="E61" s="54" t="inlineStr">
        <is>
          <t>Not a completed pilot report</t>
        </is>
      </c>
      <c r="F61" s="54" t="inlineStr">
        <is>
          <t>Pilot Protocol</t>
        </is>
      </c>
    </row>
    <row r="62" ht="48" customHeight="1" s="45">
      <c r="A62" s="54" t="inlineStr">
        <is>
          <t>Eval cases</t>
        </is>
      </c>
      <c r="B62" s="55" t="n">
        <v>100</v>
      </c>
      <c r="C62" s="54" t="inlineStr">
        <is>
          <t>jobs</t>
        </is>
      </c>
      <c r="D62" s="54" t="inlineStr">
        <is>
          <t>target</t>
        </is>
      </c>
      <c r="E62" s="54" t="inlineStr">
        <is>
          <t>Stratified normal/edge/error reports; no eval result claim</t>
        </is>
      </c>
      <c r="F62" s="54" t="inlineStr">
        <is>
          <t>Eval Plan</t>
        </is>
      </c>
    </row>
    <row r="63" ht="48" customHeight="1" s="45">
      <c r="A63" s="54" t="inlineStr">
        <is>
          <t>Eval due</t>
        </is>
      </c>
      <c r="B63" s="55" t="inlineStr">
        <is>
          <t>2026-10-22</t>
        </is>
      </c>
      <c r="C63" s="54" t="inlineStr">
        <is>
          <t>date</t>
        </is>
      </c>
      <c r="D63" s="54" t="inlineStr">
        <is>
          <t>planned</t>
        </is>
      </c>
      <c r="E63" s="54" t="inlineStr">
        <is>
          <t>Owner Phạm Thanh Đạt</t>
        </is>
      </c>
      <c r="F63" s="54" t="inlineStr">
        <is>
          <t>5_90Day_Plan!D23</t>
        </is>
      </c>
    </row>
    <row r="64" ht="48" customHeight="1" s="45">
      <c r="A64" s="54" t="inlineStr">
        <is>
          <t>Procurement control verification due</t>
        </is>
      </c>
      <c r="B64" s="55" t="inlineStr">
        <is>
          <t>2026-10-15</t>
        </is>
      </c>
      <c r="C64" s="54" t="inlineStr">
        <is>
          <t>date</t>
        </is>
      </c>
      <c r="D64" s="54" t="inlineStr">
        <is>
          <t>planned</t>
        </is>
      </c>
      <c r="E64" s="54" t="inlineStr">
        <is>
          <t>Written answers drafted; live proof pending</t>
        </is>
      </c>
      <c r="F64" s="54" t="inlineStr">
        <is>
          <t>5_90Day_Plan!D24</t>
        </is>
      </c>
    </row>
    <row r="65" ht="48" customHeight="1" s="45">
      <c r="A65" s="54" t="inlineStr">
        <is>
          <t>Pilot report due</t>
        </is>
      </c>
      <c r="B65" s="55" t="inlineStr">
        <is>
          <t>2026-11-07</t>
        </is>
      </c>
      <c r="C65" s="54" t="inlineStr">
        <is>
          <t>date</t>
        </is>
      </c>
      <c r="D65" s="54" t="inlineStr">
        <is>
          <t>planned</t>
        </is>
      </c>
      <c r="E65" s="54" t="inlineStr">
        <is>
          <t>Recruitment/consent and measured logs required</t>
        </is>
      </c>
      <c r="F65" s="54" t="inlineStr">
        <is>
          <t>5_90Day_Plan!D25</t>
        </is>
      </c>
    </row>
    <row r="66" ht="48" customHeight="1" s="45">
      <c r="A66" s="54" t="inlineStr">
        <is>
          <t>Owner</t>
        </is>
      </c>
      <c r="B66" s="55" t="inlineStr">
        <is>
          <t>Phạm Thanh Đạt</t>
        </is>
      </c>
      <c r="C66" s="54" t="inlineStr">
        <is>
          <t>name</t>
        </is>
      </c>
      <c r="D66" s="54" t="inlineStr">
        <is>
          <t>assignment</t>
        </is>
      </c>
      <c r="E66" s="54" t="inlineStr">
        <is>
          <t>Only named owner from input; no invented teammates</t>
        </is>
      </c>
      <c r="F66" s="54" t="inlineStr">
        <is>
          <t>User submission</t>
        </is>
      </c>
    </row>
    <row r="67" ht="48" customHeight="1" s="45">
      <c r="A67" s="54" t="inlineStr">
        <is>
          <t>Independent human reader test</t>
        </is>
      </c>
      <c r="B67" s="55" t="inlineStr">
        <is>
          <t>Chưa thực hiện</t>
        </is>
      </c>
      <c r="C67" s="54" t="inlineStr">
        <is>
          <t>status</t>
        </is>
      </c>
      <c r="D67" s="54" t="inlineStr">
        <is>
          <t>pending</t>
        </is>
      </c>
      <c r="E67" s="54" t="inlineStr">
        <is>
          <t>AI review cannot substitute an actual stranger</t>
        </is>
      </c>
      <c r="F67" s="54" t="inlineStr">
        <is>
          <t>5_90Day_Plan!B29:B32</t>
        </is>
      </c>
    </row>
    <row r="68" ht="48" customHeight="1" s="45">
      <c r="A68" s="54" t="inlineStr">
        <is>
          <t>Historical template benchmark scope</t>
        </is>
      </c>
      <c r="B68" s="55" t="inlineStr">
        <is>
          <t>Chỉ Haiku/cache đã kiểm tra; các dòng khác giữ nguyên tham chiếu cũ</t>
        </is>
      </c>
      <c r="C68" s="54" t="inlineStr">
        <is>
          <t>text</t>
        </is>
      </c>
      <c r="D68" s="54" t="inlineStr">
        <is>
          <t>not verified current</t>
        </is>
      </c>
      <c r="E68" s="54" t="inlineStr">
        <is>
          <t>No use of unverified promotional or ICONIQ prices</t>
        </is>
      </c>
      <c r="F68" s="54" t="inlineStr">
        <is>
          <t>6_Benchmarks</t>
        </is>
      </c>
    </row>
    <row r="69" ht="48" customHeight="1" s="45">
      <c r="A69" s="54" t="inlineStr">
        <is>
          <t>Planned end-of-90days model accounts</t>
        </is>
      </c>
      <c r="B69" s="55" t="n">
        <v>10</v>
      </c>
      <c r="C69" s="54" t="inlineStr">
        <is>
          <t>workspaces</t>
        </is>
      </c>
      <c r="D69" s="54" t="inlineStr">
        <is>
          <t>target</t>
        </is>
      </c>
      <c r="E69" s="54" t="inlineStr">
        <is>
          <t>Not same as 3 incremental funnel wins; pilot+repeat funnel cohorts required</t>
        </is>
      </c>
      <c r="F69" s="54" t="inlineStr">
        <is>
          <t>90-day plan</t>
        </is>
      </c>
    </row>
  </sheetData>
  <autoFilter ref="A3:F69"/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2026-10-08T05:25:48Z</dcterms:modified>
</cp:coreProperties>
</file>